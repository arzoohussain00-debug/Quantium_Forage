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240" yWindow="120" windowWidth="20115" windowHeight="6990" tabRatio="565" activeTab="2"/>
  </bookViews>
  <sheets>
    <sheet name="Sheet3" sheetId="8" r:id="rId1"/>
    <sheet name="Sheet1" sheetId="1" r:id="rId2"/>
    <sheet name="Sheet4" sheetId="6" r:id="rId3"/>
    <sheet name="Sheet2" sheetId="9" r:id="rId4"/>
  </sheets>
  <definedNames>
    <definedName name="_xlnm._FilterDatabase" localSheetId="1" hidden="1">Sheet1!$A$1:$K$1084</definedName>
    <definedName name="Slicer_Discount">#N/A</definedName>
    <definedName name="Slicer_Order_Date">#N/A</definedName>
    <definedName name="Slicer_Product_Category">#N/A</definedName>
    <definedName name="Slicer_Product_Name">#N/A</definedName>
    <definedName name="Slicer_Quantity">#N/A</definedName>
    <definedName name="Slicer_Total_Value">#N/A</definedName>
    <definedName name="Slicer_Unit_Price">#N/A</definedName>
  </definedNames>
  <calcPr calcId="144525"/>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085" i="1" l="1"/>
  <c r="F1085" i="1"/>
  <c r="G1085" i="1"/>
  <c r="E1085" i="1"/>
</calcChain>
</file>

<file path=xl/sharedStrings.xml><?xml version="1.0" encoding="utf-8"?>
<sst xmlns="http://schemas.openxmlformats.org/spreadsheetml/2006/main" count="5636" uniqueCount="2635">
  <si>
    <t>Customer ID</t>
  </si>
  <si>
    <t>Order ID</t>
  </si>
  <si>
    <t>Product Name</t>
  </si>
  <si>
    <t>Product Category</t>
  </si>
  <si>
    <t>Quantity</t>
  </si>
  <si>
    <t>Unit Price</t>
  </si>
  <si>
    <t>Discount</t>
  </si>
  <si>
    <t>Total Value</t>
  </si>
  <si>
    <t>C1095</t>
  </si>
  <si>
    <t>O1095</t>
  </si>
  <si>
    <t>Ti-84 Plus C Se</t>
  </si>
  <si>
    <t>Graphing Calculator</t>
  </si>
  <si>
    <t>C1096</t>
  </si>
  <si>
    <t>O1096</t>
  </si>
  <si>
    <t>C1097</t>
  </si>
  <si>
    <t>O1097</t>
  </si>
  <si>
    <t>Ti-83 Plus SE</t>
  </si>
  <si>
    <t>C1098</t>
  </si>
  <si>
    <t>O1098</t>
  </si>
  <si>
    <t>ti-84 plus ce</t>
  </si>
  <si>
    <t>C1099</t>
  </si>
  <si>
    <t>O1099</t>
  </si>
  <si>
    <t>C1100</t>
  </si>
  <si>
    <t>O1100</t>
  </si>
  <si>
    <t>C1101</t>
  </si>
  <si>
    <t>O1101</t>
  </si>
  <si>
    <t>C1102</t>
  </si>
  <si>
    <t>O1102</t>
  </si>
  <si>
    <t>C1103</t>
  </si>
  <si>
    <t>O1103</t>
  </si>
  <si>
    <t>C1104</t>
  </si>
  <si>
    <t>O1104</t>
  </si>
  <si>
    <t>TI-84 PLUS CE PYTHON</t>
  </si>
  <si>
    <t>C1105</t>
  </si>
  <si>
    <t>O1105</t>
  </si>
  <si>
    <t>C1106</t>
  </si>
  <si>
    <t>O1106</t>
  </si>
  <si>
    <t>C1107</t>
  </si>
  <si>
    <t>O1107</t>
  </si>
  <si>
    <t>C1108</t>
  </si>
  <si>
    <t>O1108</t>
  </si>
  <si>
    <t>C1109</t>
  </si>
  <si>
    <t>O1109</t>
  </si>
  <si>
    <t>C1110</t>
  </si>
  <si>
    <t>O1110</t>
  </si>
  <si>
    <t>C1111</t>
  </si>
  <si>
    <t>O1111</t>
  </si>
  <si>
    <t>ti-nspire cx</t>
  </si>
  <si>
    <t>C1112</t>
  </si>
  <si>
    <t>O1112</t>
  </si>
  <si>
    <t>C1113</t>
  </si>
  <si>
    <t>O1113</t>
  </si>
  <si>
    <t>C1114</t>
  </si>
  <si>
    <t>O1114</t>
  </si>
  <si>
    <t>C1115</t>
  </si>
  <si>
    <t>O1115</t>
  </si>
  <si>
    <t>C1116</t>
  </si>
  <si>
    <t>O1116</t>
  </si>
  <si>
    <t>C1117</t>
  </si>
  <si>
    <t>O1117</t>
  </si>
  <si>
    <t>C1118</t>
  </si>
  <si>
    <t>O1118</t>
  </si>
  <si>
    <t>C1119</t>
  </si>
  <si>
    <t>O1119</t>
  </si>
  <si>
    <t>C1120</t>
  </si>
  <si>
    <t>O1120</t>
  </si>
  <si>
    <t>C1121</t>
  </si>
  <si>
    <t>O1121</t>
  </si>
  <si>
    <t>C1122</t>
  </si>
  <si>
    <t>O1122</t>
  </si>
  <si>
    <t>ti-84 plus</t>
  </si>
  <si>
    <t>C1123</t>
  </si>
  <si>
    <t>O1123</t>
  </si>
  <si>
    <t>C1124</t>
  </si>
  <si>
    <t>O1124</t>
  </si>
  <si>
    <t>C1125</t>
  </si>
  <si>
    <t>O1125</t>
  </si>
  <si>
    <t>C1126</t>
  </si>
  <si>
    <t>O1126</t>
  </si>
  <si>
    <t>C1127</t>
  </si>
  <si>
    <t>O1127</t>
  </si>
  <si>
    <t>C1128</t>
  </si>
  <si>
    <t>O1128</t>
  </si>
  <si>
    <t>C1129</t>
  </si>
  <si>
    <t>O1129</t>
  </si>
  <si>
    <t>C1130</t>
  </si>
  <si>
    <t>O1130</t>
  </si>
  <si>
    <t>C1131</t>
  </si>
  <si>
    <t>O1131</t>
  </si>
  <si>
    <t>C1132</t>
  </si>
  <si>
    <t>O1132</t>
  </si>
  <si>
    <t>C1133</t>
  </si>
  <si>
    <t>O1133</t>
  </si>
  <si>
    <t>TI-83 plus</t>
  </si>
  <si>
    <t>C1134</t>
  </si>
  <si>
    <t>O1134</t>
  </si>
  <si>
    <t>C1135</t>
  </si>
  <si>
    <t>O1135</t>
  </si>
  <si>
    <t>C1136</t>
  </si>
  <si>
    <t>O1136</t>
  </si>
  <si>
    <t>C1137</t>
  </si>
  <si>
    <t>O1137</t>
  </si>
  <si>
    <t>C1138</t>
  </si>
  <si>
    <t>O1138</t>
  </si>
  <si>
    <t>C1139</t>
  </si>
  <si>
    <t>O1139</t>
  </si>
  <si>
    <t>C1140</t>
  </si>
  <si>
    <t>O1140</t>
  </si>
  <si>
    <t>C1141</t>
  </si>
  <si>
    <t>O1141</t>
  </si>
  <si>
    <t>C1142</t>
  </si>
  <si>
    <t>O1142</t>
  </si>
  <si>
    <t>C1143</t>
  </si>
  <si>
    <t>O1143</t>
  </si>
  <si>
    <t>C1144</t>
  </si>
  <si>
    <t>O1144</t>
  </si>
  <si>
    <t>C1145</t>
  </si>
  <si>
    <t>O1145</t>
  </si>
  <si>
    <t>C1146</t>
  </si>
  <si>
    <t>O1146</t>
  </si>
  <si>
    <t>C1147</t>
  </si>
  <si>
    <t>O1147</t>
  </si>
  <si>
    <t>C1148</t>
  </si>
  <si>
    <t>O1148</t>
  </si>
  <si>
    <t>C1149</t>
  </si>
  <si>
    <t>O1149</t>
  </si>
  <si>
    <t>C1150</t>
  </si>
  <si>
    <t>O1150</t>
  </si>
  <si>
    <t>C1151</t>
  </si>
  <si>
    <t>O1151</t>
  </si>
  <si>
    <t>C1152</t>
  </si>
  <si>
    <t>O1152</t>
  </si>
  <si>
    <t>C1153</t>
  </si>
  <si>
    <t>O1153</t>
  </si>
  <si>
    <t>C1154</t>
  </si>
  <si>
    <t>O1154</t>
  </si>
  <si>
    <t>ti-89 titanium</t>
  </si>
  <si>
    <t>CAS Calculator</t>
  </si>
  <si>
    <t>C1155</t>
  </si>
  <si>
    <t>O1155</t>
  </si>
  <si>
    <t>C1156</t>
  </si>
  <si>
    <t>O1156</t>
  </si>
  <si>
    <t>C1157</t>
  </si>
  <si>
    <t>O1157</t>
  </si>
  <si>
    <t>C1158</t>
  </si>
  <si>
    <t>O1158</t>
  </si>
  <si>
    <t>C1159</t>
  </si>
  <si>
    <t>O1159</t>
  </si>
  <si>
    <t>C1160</t>
  </si>
  <si>
    <t>O1160</t>
  </si>
  <si>
    <t>C1161</t>
  </si>
  <si>
    <t>O1161</t>
  </si>
  <si>
    <t>C1162</t>
  </si>
  <si>
    <t>O1162</t>
  </si>
  <si>
    <t>C1163</t>
  </si>
  <si>
    <t>O1163</t>
  </si>
  <si>
    <t>C1164</t>
  </si>
  <si>
    <t>O1164</t>
  </si>
  <si>
    <t>TI-89</t>
  </si>
  <si>
    <t>C1165</t>
  </si>
  <si>
    <t>O1165</t>
  </si>
  <si>
    <t>C1166</t>
  </si>
  <si>
    <t>O1166</t>
  </si>
  <si>
    <t>C1167</t>
  </si>
  <si>
    <t>O1167</t>
  </si>
  <si>
    <t>C1168</t>
  </si>
  <si>
    <t>O1168</t>
  </si>
  <si>
    <t>Ti-nspire CX II</t>
  </si>
  <si>
    <t>C1169</t>
  </si>
  <si>
    <t>O1169</t>
  </si>
  <si>
    <t>C1170</t>
  </si>
  <si>
    <t>O1170</t>
  </si>
  <si>
    <t>C1171</t>
  </si>
  <si>
    <t>O1171</t>
  </si>
  <si>
    <t>C1172</t>
  </si>
  <si>
    <t>O1172</t>
  </si>
  <si>
    <t>C1173</t>
  </si>
  <si>
    <t>O1173</t>
  </si>
  <si>
    <t>C1174</t>
  </si>
  <si>
    <t>O1174</t>
  </si>
  <si>
    <t>C1175</t>
  </si>
  <si>
    <t>O1175</t>
  </si>
  <si>
    <t>C1176</t>
  </si>
  <si>
    <t>O1176</t>
  </si>
  <si>
    <t>C1177</t>
  </si>
  <si>
    <t>O1177</t>
  </si>
  <si>
    <t>C1178</t>
  </si>
  <si>
    <t>O1178</t>
  </si>
  <si>
    <t>C1179</t>
  </si>
  <si>
    <t>O1179</t>
  </si>
  <si>
    <t>C1180</t>
  </si>
  <si>
    <t>O1180</t>
  </si>
  <si>
    <t>C1181</t>
  </si>
  <si>
    <t>O1181</t>
  </si>
  <si>
    <t>C1182</t>
  </si>
  <si>
    <t>O1182</t>
  </si>
  <si>
    <t>C1183</t>
  </si>
  <si>
    <t>O1183</t>
  </si>
  <si>
    <t>C1184</t>
  </si>
  <si>
    <t>O1184</t>
  </si>
  <si>
    <t>C1185</t>
  </si>
  <si>
    <t>O1185</t>
  </si>
  <si>
    <t>C1186</t>
  </si>
  <si>
    <t>O1186</t>
  </si>
  <si>
    <t>C1187</t>
  </si>
  <si>
    <t>O1187</t>
  </si>
  <si>
    <t>C1188</t>
  </si>
  <si>
    <t>O1188</t>
  </si>
  <si>
    <t>C1189</t>
  </si>
  <si>
    <t>O1189</t>
  </si>
  <si>
    <t>C1190</t>
  </si>
  <si>
    <t>O1190</t>
  </si>
  <si>
    <t>C1191</t>
  </si>
  <si>
    <t>O1191</t>
  </si>
  <si>
    <t>C1192</t>
  </si>
  <si>
    <t>O1192</t>
  </si>
  <si>
    <t>C1193</t>
  </si>
  <si>
    <t>O1193</t>
  </si>
  <si>
    <t>C1194</t>
  </si>
  <si>
    <t>O1194</t>
  </si>
  <si>
    <t>C1195</t>
  </si>
  <si>
    <t>O1195</t>
  </si>
  <si>
    <t>C1196</t>
  </si>
  <si>
    <t>O1196</t>
  </si>
  <si>
    <t>C1197</t>
  </si>
  <si>
    <t>O1197</t>
  </si>
  <si>
    <t>C1198</t>
  </si>
  <si>
    <t>O1198</t>
  </si>
  <si>
    <t>C1199</t>
  </si>
  <si>
    <t>O1199</t>
  </si>
  <si>
    <t>C1200</t>
  </si>
  <si>
    <t>O1200</t>
  </si>
  <si>
    <t>TI-NSPIRE CX CAS</t>
  </si>
  <si>
    <t>C1201</t>
  </si>
  <si>
    <t>O1201</t>
  </si>
  <si>
    <t>C1202</t>
  </si>
  <si>
    <t>O1202</t>
  </si>
  <si>
    <t>C1203</t>
  </si>
  <si>
    <t>O1203</t>
  </si>
  <si>
    <t>C1204</t>
  </si>
  <si>
    <t>O1204</t>
  </si>
  <si>
    <t>C1205</t>
  </si>
  <si>
    <t>O1205</t>
  </si>
  <si>
    <t>C1206</t>
  </si>
  <si>
    <t>O1206</t>
  </si>
  <si>
    <t>C1207</t>
  </si>
  <si>
    <t>O1207</t>
  </si>
  <si>
    <t>C1208</t>
  </si>
  <si>
    <t>O1208</t>
  </si>
  <si>
    <t>C1209</t>
  </si>
  <si>
    <t>O1209</t>
  </si>
  <si>
    <t>C1210</t>
  </si>
  <si>
    <t>O1210</t>
  </si>
  <si>
    <t>C1211</t>
  </si>
  <si>
    <t>O1211</t>
  </si>
  <si>
    <t>C1212</t>
  </si>
  <si>
    <t>O1212</t>
  </si>
  <si>
    <t>C1213</t>
  </si>
  <si>
    <t>O1213</t>
  </si>
  <si>
    <t>C1214</t>
  </si>
  <si>
    <t>O1214</t>
  </si>
  <si>
    <t>C1215</t>
  </si>
  <si>
    <t>O1215</t>
  </si>
  <si>
    <t>C1216</t>
  </si>
  <si>
    <t>O1216</t>
  </si>
  <si>
    <t>C1217</t>
  </si>
  <si>
    <t>O1217</t>
  </si>
  <si>
    <t>C1218</t>
  </si>
  <si>
    <t>O1218</t>
  </si>
  <si>
    <t>C1219</t>
  </si>
  <si>
    <t>O1219</t>
  </si>
  <si>
    <t>C1220</t>
  </si>
  <si>
    <t>O1220</t>
  </si>
  <si>
    <t>C1221</t>
  </si>
  <si>
    <t>O1221</t>
  </si>
  <si>
    <t>C1222</t>
  </si>
  <si>
    <t>O1222</t>
  </si>
  <si>
    <t>C1223</t>
  </si>
  <si>
    <t>O1223</t>
  </si>
  <si>
    <t>C1224</t>
  </si>
  <si>
    <t>O1224</t>
  </si>
  <si>
    <t>C1225</t>
  </si>
  <si>
    <t>O1225</t>
  </si>
  <si>
    <t>C1226</t>
  </si>
  <si>
    <t>O1226</t>
  </si>
  <si>
    <t>C1227</t>
  </si>
  <si>
    <t>O1227</t>
  </si>
  <si>
    <t>C1228</t>
  </si>
  <si>
    <t>O1228</t>
  </si>
  <si>
    <t>C1229</t>
  </si>
  <si>
    <t>O1229</t>
  </si>
  <si>
    <t>C1230</t>
  </si>
  <si>
    <t>O1230</t>
  </si>
  <si>
    <t>C1231</t>
  </si>
  <si>
    <t>O1231</t>
  </si>
  <si>
    <t>C1232</t>
  </si>
  <si>
    <t>O1232</t>
  </si>
  <si>
    <t>C1233</t>
  </si>
  <si>
    <t>O1233</t>
  </si>
  <si>
    <t>C1234</t>
  </si>
  <si>
    <t>O1234</t>
  </si>
  <si>
    <t>C1235</t>
  </si>
  <si>
    <t>O1235</t>
  </si>
  <si>
    <t>C1236</t>
  </si>
  <si>
    <t>O1236</t>
  </si>
  <si>
    <t>C1237</t>
  </si>
  <si>
    <t>O1237</t>
  </si>
  <si>
    <t>C1238</t>
  </si>
  <si>
    <t>O1238</t>
  </si>
  <si>
    <t>C1239</t>
  </si>
  <si>
    <t>O1239</t>
  </si>
  <si>
    <t>C1240</t>
  </si>
  <si>
    <t>O1240</t>
  </si>
  <si>
    <t>C1241</t>
  </si>
  <si>
    <t>O1241</t>
  </si>
  <si>
    <t>C1242</t>
  </si>
  <si>
    <t>O1242</t>
  </si>
  <si>
    <t>ti-nspire CX II Cas</t>
  </si>
  <si>
    <t>C1243</t>
  </si>
  <si>
    <t>O1243</t>
  </si>
  <si>
    <t>C1244</t>
  </si>
  <si>
    <t>O1244</t>
  </si>
  <si>
    <t>C1245</t>
  </si>
  <si>
    <t>O1245</t>
  </si>
  <si>
    <t>C1246</t>
  </si>
  <si>
    <t>O1246</t>
  </si>
  <si>
    <t>C1247</t>
  </si>
  <si>
    <t>O1247</t>
  </si>
  <si>
    <t>C1248</t>
  </si>
  <si>
    <t>O1248</t>
  </si>
  <si>
    <t>C1249</t>
  </si>
  <si>
    <t>O1249</t>
  </si>
  <si>
    <t>C1250</t>
  </si>
  <si>
    <t>O1250</t>
  </si>
  <si>
    <t>C1251</t>
  </si>
  <si>
    <t>O1251</t>
  </si>
  <si>
    <t>C1252</t>
  </si>
  <si>
    <t>O1252</t>
  </si>
  <si>
    <t>C1253</t>
  </si>
  <si>
    <t>O1253</t>
  </si>
  <si>
    <t>C1254</t>
  </si>
  <si>
    <t>O1254</t>
  </si>
  <si>
    <t>C1255</t>
  </si>
  <si>
    <t>O1255</t>
  </si>
  <si>
    <t>C1256</t>
  </si>
  <si>
    <t>O1256</t>
  </si>
  <si>
    <t>C1257</t>
  </si>
  <si>
    <t>O1257</t>
  </si>
  <si>
    <t>C1258</t>
  </si>
  <si>
    <t>O1258</t>
  </si>
  <si>
    <t>C1259</t>
  </si>
  <si>
    <t>O1259</t>
  </si>
  <si>
    <t>C1260</t>
  </si>
  <si>
    <t>O1260</t>
  </si>
  <si>
    <t>C1261</t>
  </si>
  <si>
    <t>O1261</t>
  </si>
  <si>
    <t>C1262</t>
  </si>
  <si>
    <t>O1262</t>
  </si>
  <si>
    <t>C1263</t>
  </si>
  <si>
    <t>O1263</t>
  </si>
  <si>
    <t>C1264</t>
  </si>
  <si>
    <t>O1264</t>
  </si>
  <si>
    <t>C1265</t>
  </si>
  <si>
    <t>O1265</t>
  </si>
  <si>
    <t>C1266</t>
  </si>
  <si>
    <t>O1266</t>
  </si>
  <si>
    <t>C1267</t>
  </si>
  <si>
    <t>O1267</t>
  </si>
  <si>
    <t>C1268</t>
  </si>
  <si>
    <t>O1268</t>
  </si>
  <si>
    <t>C1269</t>
  </si>
  <si>
    <t>O1269</t>
  </si>
  <si>
    <t>C1270</t>
  </si>
  <si>
    <t>O1270</t>
  </si>
  <si>
    <t>C1271</t>
  </si>
  <si>
    <t>O1271</t>
  </si>
  <si>
    <t>C1272</t>
  </si>
  <si>
    <t>O1272</t>
  </si>
  <si>
    <t>C1273</t>
  </si>
  <si>
    <t>O1273</t>
  </si>
  <si>
    <t>C1274</t>
  </si>
  <si>
    <t>O1274</t>
  </si>
  <si>
    <t>C1275</t>
  </si>
  <si>
    <t>O1275</t>
  </si>
  <si>
    <t>C1276</t>
  </si>
  <si>
    <t>O1276</t>
  </si>
  <si>
    <t>C1277</t>
  </si>
  <si>
    <t>O1277</t>
  </si>
  <si>
    <t>C1278</t>
  </si>
  <si>
    <t>O1278</t>
  </si>
  <si>
    <t>C1279</t>
  </si>
  <si>
    <t>O1279</t>
  </si>
  <si>
    <t>C1280</t>
  </si>
  <si>
    <t>O1280</t>
  </si>
  <si>
    <t>C1281</t>
  </si>
  <si>
    <t>O1281</t>
  </si>
  <si>
    <t>C1282</t>
  </si>
  <si>
    <t>O1282</t>
  </si>
  <si>
    <t>C1283</t>
  </si>
  <si>
    <t>O1283</t>
  </si>
  <si>
    <t>C1284</t>
  </si>
  <si>
    <t>O1284</t>
  </si>
  <si>
    <t>C1285</t>
  </si>
  <si>
    <t>O1285</t>
  </si>
  <si>
    <t>C1286</t>
  </si>
  <si>
    <t>O1286</t>
  </si>
  <si>
    <t>C1287</t>
  </si>
  <si>
    <t>O1287</t>
  </si>
  <si>
    <t>C1288</t>
  </si>
  <si>
    <t>O1288</t>
  </si>
  <si>
    <t>C1289</t>
  </si>
  <si>
    <t>O1289</t>
  </si>
  <si>
    <t>C1290</t>
  </si>
  <si>
    <t>O1290</t>
  </si>
  <si>
    <t>C1291</t>
  </si>
  <si>
    <t>O1291</t>
  </si>
  <si>
    <t>C1292</t>
  </si>
  <si>
    <t>O1292</t>
  </si>
  <si>
    <t>C1293</t>
  </si>
  <si>
    <t>O1293</t>
  </si>
  <si>
    <t>C1294</t>
  </si>
  <si>
    <t>O1294</t>
  </si>
  <si>
    <t>C1295</t>
  </si>
  <si>
    <t>O1295</t>
  </si>
  <si>
    <t>C1296</t>
  </si>
  <si>
    <t>O1296</t>
  </si>
  <si>
    <t>C1297</t>
  </si>
  <si>
    <t>O1297</t>
  </si>
  <si>
    <t>C1298</t>
  </si>
  <si>
    <t>O1298</t>
  </si>
  <si>
    <t>C1299</t>
  </si>
  <si>
    <t>O1299</t>
  </si>
  <si>
    <t>C1300</t>
  </si>
  <si>
    <t>O1300</t>
  </si>
  <si>
    <t>C1301</t>
  </si>
  <si>
    <t>O1301</t>
  </si>
  <si>
    <t>C1302</t>
  </si>
  <si>
    <t>O1302</t>
  </si>
  <si>
    <t>C1303</t>
  </si>
  <si>
    <t>O1303</t>
  </si>
  <si>
    <t>C1304</t>
  </si>
  <si>
    <t>O1304</t>
  </si>
  <si>
    <t>C1305</t>
  </si>
  <si>
    <t>O1305</t>
  </si>
  <si>
    <t>C1306</t>
  </si>
  <si>
    <t>O1306</t>
  </si>
  <si>
    <t>C1307</t>
  </si>
  <si>
    <t>O1307</t>
  </si>
  <si>
    <t>C1308</t>
  </si>
  <si>
    <t>O1308</t>
  </si>
  <si>
    <t>C1309</t>
  </si>
  <si>
    <t>O1309</t>
  </si>
  <si>
    <t>C1310</t>
  </si>
  <si>
    <t>O1310</t>
  </si>
  <si>
    <t>C1311</t>
  </si>
  <si>
    <t>O1311</t>
  </si>
  <si>
    <t>C1312</t>
  </si>
  <si>
    <t>O1312</t>
  </si>
  <si>
    <t>C1313</t>
  </si>
  <si>
    <t>O1313</t>
  </si>
  <si>
    <t>C1314</t>
  </si>
  <si>
    <t>O1314</t>
  </si>
  <si>
    <t>C1315</t>
  </si>
  <si>
    <t>O1315</t>
  </si>
  <si>
    <t>C1316</t>
  </si>
  <si>
    <t>O1316</t>
  </si>
  <si>
    <t>C1317</t>
  </si>
  <si>
    <t>O1317</t>
  </si>
  <si>
    <t>C1318</t>
  </si>
  <si>
    <t>O1318</t>
  </si>
  <si>
    <t>C1319</t>
  </si>
  <si>
    <t>O1319</t>
  </si>
  <si>
    <t>C1320</t>
  </si>
  <si>
    <t>O1320</t>
  </si>
  <si>
    <t>C1321</t>
  </si>
  <si>
    <t>O1321</t>
  </si>
  <si>
    <t>C1322</t>
  </si>
  <si>
    <t>O1322</t>
  </si>
  <si>
    <t>C1323</t>
  </si>
  <si>
    <t>O1323</t>
  </si>
  <si>
    <t>C1324</t>
  </si>
  <si>
    <t>O1324</t>
  </si>
  <si>
    <t>C1325</t>
  </si>
  <si>
    <t>O1325</t>
  </si>
  <si>
    <t>C1326</t>
  </si>
  <si>
    <t>O1326</t>
  </si>
  <si>
    <t>C1327</t>
  </si>
  <si>
    <t>O1327</t>
  </si>
  <si>
    <t>C1328</t>
  </si>
  <si>
    <t>O1328</t>
  </si>
  <si>
    <t>C1329</t>
  </si>
  <si>
    <t>O1329</t>
  </si>
  <si>
    <t>C1330</t>
  </si>
  <si>
    <t>O1330</t>
  </si>
  <si>
    <t>C1331</t>
  </si>
  <si>
    <t>O1331</t>
  </si>
  <si>
    <t>C1332</t>
  </si>
  <si>
    <t>O1332</t>
  </si>
  <si>
    <t>C1333</t>
  </si>
  <si>
    <t>O1333</t>
  </si>
  <si>
    <t>C1334</t>
  </si>
  <si>
    <t>O1334</t>
  </si>
  <si>
    <t>C1335</t>
  </si>
  <si>
    <t>O1335</t>
  </si>
  <si>
    <t>C1336</t>
  </si>
  <si>
    <t>O1336</t>
  </si>
  <si>
    <t>C1337</t>
  </si>
  <si>
    <t>O1337</t>
  </si>
  <si>
    <t>C1338</t>
  </si>
  <si>
    <t>O1338</t>
  </si>
  <si>
    <t>C1339</t>
  </si>
  <si>
    <t>O1339</t>
  </si>
  <si>
    <t>C1340</t>
  </si>
  <si>
    <t>O1340</t>
  </si>
  <si>
    <t>C1341</t>
  </si>
  <si>
    <t>O1341</t>
  </si>
  <si>
    <t>C1342</t>
  </si>
  <si>
    <t>O1342</t>
  </si>
  <si>
    <t>C1343</t>
  </si>
  <si>
    <t>O1343</t>
  </si>
  <si>
    <t>C1344</t>
  </si>
  <si>
    <t>O1344</t>
  </si>
  <si>
    <t>C1345</t>
  </si>
  <si>
    <t>O1345</t>
  </si>
  <si>
    <t>C1346</t>
  </si>
  <si>
    <t>O1346</t>
  </si>
  <si>
    <t>C1347</t>
  </si>
  <si>
    <t>O1347</t>
  </si>
  <si>
    <t>C1348</t>
  </si>
  <si>
    <t>O1348</t>
  </si>
  <si>
    <t>C1349</t>
  </si>
  <si>
    <t>O1349</t>
  </si>
  <si>
    <t>C1350</t>
  </si>
  <si>
    <t>O1350</t>
  </si>
  <si>
    <t>C1351</t>
  </si>
  <si>
    <t>O1351</t>
  </si>
  <si>
    <t>C1352</t>
  </si>
  <si>
    <t>O1352</t>
  </si>
  <si>
    <t>C1353</t>
  </si>
  <si>
    <t>O1353</t>
  </si>
  <si>
    <t>C1354</t>
  </si>
  <si>
    <t>O1354</t>
  </si>
  <si>
    <t>C1355</t>
  </si>
  <si>
    <t>O1355</t>
  </si>
  <si>
    <t>C1356</t>
  </si>
  <si>
    <t>O1356</t>
  </si>
  <si>
    <t>C1357</t>
  </si>
  <si>
    <t>O1357</t>
  </si>
  <si>
    <t>C1358</t>
  </si>
  <si>
    <t>O1358</t>
  </si>
  <si>
    <t>C1359</t>
  </si>
  <si>
    <t>O1359</t>
  </si>
  <si>
    <t>C1360</t>
  </si>
  <si>
    <t>O1360</t>
  </si>
  <si>
    <t>C1361</t>
  </si>
  <si>
    <t>O1361</t>
  </si>
  <si>
    <t>C1362</t>
  </si>
  <si>
    <t>O1362</t>
  </si>
  <si>
    <t>C1363</t>
  </si>
  <si>
    <t>O1363</t>
  </si>
  <si>
    <t>C1364</t>
  </si>
  <si>
    <t>O1364</t>
  </si>
  <si>
    <t>C1365</t>
  </si>
  <si>
    <t>O1365</t>
  </si>
  <si>
    <t>C1366</t>
  </si>
  <si>
    <t>O1366</t>
  </si>
  <si>
    <t>C1367</t>
  </si>
  <si>
    <t>O1367</t>
  </si>
  <si>
    <t>C1368</t>
  </si>
  <si>
    <t>O1368</t>
  </si>
  <si>
    <t>C1369</t>
  </si>
  <si>
    <t>O1369</t>
  </si>
  <si>
    <t>C1370</t>
  </si>
  <si>
    <t>O1370</t>
  </si>
  <si>
    <t>C1371</t>
  </si>
  <si>
    <t>O1371</t>
  </si>
  <si>
    <t>C1372</t>
  </si>
  <si>
    <t>O1372</t>
  </si>
  <si>
    <t>C1373</t>
  </si>
  <si>
    <t>O1373</t>
  </si>
  <si>
    <t>C1374</t>
  </si>
  <si>
    <t>O1374</t>
  </si>
  <si>
    <t>C1375</t>
  </si>
  <si>
    <t>O1375</t>
  </si>
  <si>
    <t>C1376</t>
  </si>
  <si>
    <t>O1376</t>
  </si>
  <si>
    <t>C1377</t>
  </si>
  <si>
    <t>O1377</t>
  </si>
  <si>
    <t>C1378</t>
  </si>
  <si>
    <t>O1378</t>
  </si>
  <si>
    <t>C1379</t>
  </si>
  <si>
    <t>O1379</t>
  </si>
  <si>
    <t>C1380</t>
  </si>
  <si>
    <t>O1380</t>
  </si>
  <si>
    <t>C1381</t>
  </si>
  <si>
    <t>O1381</t>
  </si>
  <si>
    <t>C1382</t>
  </si>
  <si>
    <t>O1382</t>
  </si>
  <si>
    <t>C1383</t>
  </si>
  <si>
    <t>O1383</t>
  </si>
  <si>
    <t>C1384</t>
  </si>
  <si>
    <t>O1384</t>
  </si>
  <si>
    <t>C1385</t>
  </si>
  <si>
    <t>O1385</t>
  </si>
  <si>
    <t>C1386</t>
  </si>
  <si>
    <t>O1386</t>
  </si>
  <si>
    <t>C1387</t>
  </si>
  <si>
    <t>O1387</t>
  </si>
  <si>
    <t>C1388</t>
  </si>
  <si>
    <t>O1388</t>
  </si>
  <si>
    <t>C1389</t>
  </si>
  <si>
    <t>O1389</t>
  </si>
  <si>
    <t>C1390</t>
  </si>
  <si>
    <t>O1390</t>
  </si>
  <si>
    <t>C1391</t>
  </si>
  <si>
    <t>O1391</t>
  </si>
  <si>
    <t>C1392</t>
  </si>
  <si>
    <t>O1392</t>
  </si>
  <si>
    <t>C1393</t>
  </si>
  <si>
    <t>O1393</t>
  </si>
  <si>
    <t>C1394</t>
  </si>
  <si>
    <t>O1394</t>
  </si>
  <si>
    <t>C1395</t>
  </si>
  <si>
    <t>O1395</t>
  </si>
  <si>
    <t>C1396</t>
  </si>
  <si>
    <t>O1396</t>
  </si>
  <si>
    <t>C1397</t>
  </si>
  <si>
    <t>O1397</t>
  </si>
  <si>
    <t>C1398</t>
  </si>
  <si>
    <t>O1398</t>
  </si>
  <si>
    <t>C1399</t>
  </si>
  <si>
    <t>O1399</t>
  </si>
  <si>
    <t>C1400</t>
  </si>
  <si>
    <t>O1400</t>
  </si>
  <si>
    <t>C1401</t>
  </si>
  <si>
    <t>O1401</t>
  </si>
  <si>
    <t>C1402</t>
  </si>
  <si>
    <t>O1402</t>
  </si>
  <si>
    <t>C1403</t>
  </si>
  <si>
    <t>O1403</t>
  </si>
  <si>
    <t>C1404</t>
  </si>
  <si>
    <t>O1404</t>
  </si>
  <si>
    <t>C1405</t>
  </si>
  <si>
    <t>O1405</t>
  </si>
  <si>
    <t>C1406</t>
  </si>
  <si>
    <t>O1406</t>
  </si>
  <si>
    <t>C1407</t>
  </si>
  <si>
    <t>O1407</t>
  </si>
  <si>
    <t>C1408</t>
  </si>
  <si>
    <t>O1408</t>
  </si>
  <si>
    <t>C1409</t>
  </si>
  <si>
    <t>O1409</t>
  </si>
  <si>
    <t>C1410</t>
  </si>
  <si>
    <t>O1410</t>
  </si>
  <si>
    <t>C1411</t>
  </si>
  <si>
    <t>O1411</t>
  </si>
  <si>
    <t>C1412</t>
  </si>
  <si>
    <t>O1412</t>
  </si>
  <si>
    <t>C1413</t>
  </si>
  <si>
    <t>O1413</t>
  </si>
  <si>
    <t>C1414</t>
  </si>
  <si>
    <t>O1414</t>
  </si>
  <si>
    <t>C1415</t>
  </si>
  <si>
    <t>O1415</t>
  </si>
  <si>
    <t>C1416</t>
  </si>
  <si>
    <t>O1416</t>
  </si>
  <si>
    <t>C1417</t>
  </si>
  <si>
    <t>O1417</t>
  </si>
  <si>
    <t>C1418</t>
  </si>
  <si>
    <t>O1418</t>
  </si>
  <si>
    <t>C1419</t>
  </si>
  <si>
    <t>O1419</t>
  </si>
  <si>
    <t>C1420</t>
  </si>
  <si>
    <t>O1420</t>
  </si>
  <si>
    <t>C1421</t>
  </si>
  <si>
    <t>O1421</t>
  </si>
  <si>
    <t>C1422</t>
  </si>
  <si>
    <t>O1422</t>
  </si>
  <si>
    <t>C1423</t>
  </si>
  <si>
    <t>O1423</t>
  </si>
  <si>
    <t>C1424</t>
  </si>
  <si>
    <t>O1424</t>
  </si>
  <si>
    <t>C1425</t>
  </si>
  <si>
    <t>O1425</t>
  </si>
  <si>
    <t>C1426</t>
  </si>
  <si>
    <t>O1426</t>
  </si>
  <si>
    <t>C1427</t>
  </si>
  <si>
    <t>O1427</t>
  </si>
  <si>
    <t>C1428</t>
  </si>
  <si>
    <t>O1428</t>
  </si>
  <si>
    <t>C1429</t>
  </si>
  <si>
    <t>O1429</t>
  </si>
  <si>
    <t>C1430</t>
  </si>
  <si>
    <t>O1430</t>
  </si>
  <si>
    <t>C1431</t>
  </si>
  <si>
    <t>O1431</t>
  </si>
  <si>
    <t>C1432</t>
  </si>
  <si>
    <t>O1432</t>
  </si>
  <si>
    <t>C1433</t>
  </si>
  <si>
    <t>O1433</t>
  </si>
  <si>
    <t>C1434</t>
  </si>
  <si>
    <t>O1434</t>
  </si>
  <si>
    <t>C1435</t>
  </si>
  <si>
    <t>O1435</t>
  </si>
  <si>
    <t>C1436</t>
  </si>
  <si>
    <t>O1436</t>
  </si>
  <si>
    <t>C1437</t>
  </si>
  <si>
    <t>O1437</t>
  </si>
  <si>
    <t>C1438</t>
  </si>
  <si>
    <t>O1438</t>
  </si>
  <si>
    <t>C1439</t>
  </si>
  <si>
    <t>O1439</t>
  </si>
  <si>
    <t>C1440</t>
  </si>
  <si>
    <t>O1440</t>
  </si>
  <si>
    <t>C1441</t>
  </si>
  <si>
    <t>O1441</t>
  </si>
  <si>
    <t>C1442</t>
  </si>
  <si>
    <t>O1442</t>
  </si>
  <si>
    <t>C1443</t>
  </si>
  <si>
    <t>O1443</t>
  </si>
  <si>
    <t>C1444</t>
  </si>
  <si>
    <t>O1444</t>
  </si>
  <si>
    <t>C1445</t>
  </si>
  <si>
    <t>O1445</t>
  </si>
  <si>
    <t>C1446</t>
  </si>
  <si>
    <t>O1446</t>
  </si>
  <si>
    <t>C1447</t>
  </si>
  <si>
    <t>O1447</t>
  </si>
  <si>
    <t>C1448</t>
  </si>
  <si>
    <t>O1448</t>
  </si>
  <si>
    <t>C1449</t>
  </si>
  <si>
    <t>O1449</t>
  </si>
  <si>
    <t>C1450</t>
  </si>
  <si>
    <t>O1450</t>
  </si>
  <si>
    <t>C1451</t>
  </si>
  <si>
    <t>O1451</t>
  </si>
  <si>
    <t>C1452</t>
  </si>
  <si>
    <t>O1452</t>
  </si>
  <si>
    <t>C1453</t>
  </si>
  <si>
    <t>O1453</t>
  </si>
  <si>
    <t>C1454</t>
  </si>
  <si>
    <t>O1454</t>
  </si>
  <si>
    <t>C1455</t>
  </si>
  <si>
    <t>O1455</t>
  </si>
  <si>
    <t>C1456</t>
  </si>
  <si>
    <t>O1456</t>
  </si>
  <si>
    <t>C1457</t>
  </si>
  <si>
    <t>O1457</t>
  </si>
  <si>
    <t>C1458</t>
  </si>
  <si>
    <t>O1458</t>
  </si>
  <si>
    <t>C1459</t>
  </si>
  <si>
    <t>O1459</t>
  </si>
  <si>
    <t>C1460</t>
  </si>
  <si>
    <t>O1460</t>
  </si>
  <si>
    <t>C1461</t>
  </si>
  <si>
    <t>O1461</t>
  </si>
  <si>
    <t>C1462</t>
  </si>
  <si>
    <t>O1462</t>
  </si>
  <si>
    <t>C1463</t>
  </si>
  <si>
    <t>O1463</t>
  </si>
  <si>
    <t>C1464</t>
  </si>
  <si>
    <t>O1464</t>
  </si>
  <si>
    <t>C1465</t>
  </si>
  <si>
    <t>O1465</t>
  </si>
  <si>
    <t>C1466</t>
  </si>
  <si>
    <t>O1466</t>
  </si>
  <si>
    <t>C1467</t>
  </si>
  <si>
    <t>O1467</t>
  </si>
  <si>
    <t>C1468</t>
  </si>
  <si>
    <t>O1468</t>
  </si>
  <si>
    <t>C1469</t>
  </si>
  <si>
    <t>O1469</t>
  </si>
  <si>
    <t>C1470</t>
  </si>
  <si>
    <t>O1470</t>
  </si>
  <si>
    <t>C1471</t>
  </si>
  <si>
    <t>O1471</t>
  </si>
  <si>
    <t>C1472</t>
  </si>
  <si>
    <t>O1472</t>
  </si>
  <si>
    <t>C1473</t>
  </si>
  <si>
    <t>O1473</t>
  </si>
  <si>
    <t>C1474</t>
  </si>
  <si>
    <t>O1474</t>
  </si>
  <si>
    <t>C1475</t>
  </si>
  <si>
    <t>O1475</t>
  </si>
  <si>
    <t>C1476</t>
  </si>
  <si>
    <t>O1476</t>
  </si>
  <si>
    <t>C1477</t>
  </si>
  <si>
    <t>O1477</t>
  </si>
  <si>
    <t>C1478</t>
  </si>
  <si>
    <t>O1478</t>
  </si>
  <si>
    <t>C1479</t>
  </si>
  <si>
    <t>O1479</t>
  </si>
  <si>
    <t>C1480</t>
  </si>
  <si>
    <t>O1480</t>
  </si>
  <si>
    <t>C1481</t>
  </si>
  <si>
    <t>O1481</t>
  </si>
  <si>
    <t>C1482</t>
  </si>
  <si>
    <t>O1482</t>
  </si>
  <si>
    <t>C1483</t>
  </si>
  <si>
    <t>O1483</t>
  </si>
  <si>
    <t>C1484</t>
  </si>
  <si>
    <t>O1484</t>
  </si>
  <si>
    <t>C1485</t>
  </si>
  <si>
    <t>O1485</t>
  </si>
  <si>
    <t>C1486</t>
  </si>
  <si>
    <t>O1486</t>
  </si>
  <si>
    <t>C1487</t>
  </si>
  <si>
    <t>O1487</t>
  </si>
  <si>
    <t>C1488</t>
  </si>
  <si>
    <t>O1488</t>
  </si>
  <si>
    <t>C1489</t>
  </si>
  <si>
    <t>O1489</t>
  </si>
  <si>
    <t>C1490</t>
  </si>
  <si>
    <t>O1490</t>
  </si>
  <si>
    <t>C1491</t>
  </si>
  <si>
    <t>O1491</t>
  </si>
  <si>
    <t>C1492</t>
  </si>
  <si>
    <t>O1492</t>
  </si>
  <si>
    <t>C1493</t>
  </si>
  <si>
    <t>O1493</t>
  </si>
  <si>
    <t>C1494</t>
  </si>
  <si>
    <t>O1494</t>
  </si>
  <si>
    <t>C1495</t>
  </si>
  <si>
    <t>O1495</t>
  </si>
  <si>
    <t>C1496</t>
  </si>
  <si>
    <t>O1496</t>
  </si>
  <si>
    <t>C1497</t>
  </si>
  <si>
    <t>O1497</t>
  </si>
  <si>
    <t>C1498</t>
  </si>
  <si>
    <t>O1498</t>
  </si>
  <si>
    <t>C1499</t>
  </si>
  <si>
    <t>O1499</t>
  </si>
  <si>
    <t>C1500</t>
  </si>
  <si>
    <t>O1500</t>
  </si>
  <si>
    <t>C1501</t>
  </si>
  <si>
    <t>O1501</t>
  </si>
  <si>
    <t>C1502</t>
  </si>
  <si>
    <t>O1502</t>
  </si>
  <si>
    <t>C1503</t>
  </si>
  <si>
    <t>O1503</t>
  </si>
  <si>
    <t>C1504</t>
  </si>
  <si>
    <t>O1504</t>
  </si>
  <si>
    <t>C1505</t>
  </si>
  <si>
    <t>O1505</t>
  </si>
  <si>
    <t>C1506</t>
  </si>
  <si>
    <t>O1506</t>
  </si>
  <si>
    <t>C1507</t>
  </si>
  <si>
    <t>O1507</t>
  </si>
  <si>
    <t>C1508</t>
  </si>
  <si>
    <t>O1508</t>
  </si>
  <si>
    <t>C1509</t>
  </si>
  <si>
    <t>O1509</t>
  </si>
  <si>
    <t>C1510</t>
  </si>
  <si>
    <t>O1510</t>
  </si>
  <si>
    <t>C1511</t>
  </si>
  <si>
    <t>O1511</t>
  </si>
  <si>
    <t>C1512</t>
  </si>
  <si>
    <t>O1512</t>
  </si>
  <si>
    <t>C1513</t>
  </si>
  <si>
    <t>O1513</t>
  </si>
  <si>
    <t>C1514</t>
  </si>
  <si>
    <t>O1514</t>
  </si>
  <si>
    <t>C1515</t>
  </si>
  <si>
    <t>O1515</t>
  </si>
  <si>
    <t>C1516</t>
  </si>
  <si>
    <t>O1516</t>
  </si>
  <si>
    <t>C1517</t>
  </si>
  <si>
    <t>O1517</t>
  </si>
  <si>
    <t>C1518</t>
  </si>
  <si>
    <t>O1518</t>
  </si>
  <si>
    <t>C1519</t>
  </si>
  <si>
    <t>O1519</t>
  </si>
  <si>
    <t>C1520</t>
  </si>
  <si>
    <t>O1520</t>
  </si>
  <si>
    <t>C1521</t>
  </si>
  <si>
    <t>O1521</t>
  </si>
  <si>
    <t>C1522</t>
  </si>
  <si>
    <t>O1522</t>
  </si>
  <si>
    <t>C1523</t>
  </si>
  <si>
    <t>O1523</t>
  </si>
  <si>
    <t>C1524</t>
  </si>
  <si>
    <t>O1524</t>
  </si>
  <si>
    <t>C1525</t>
  </si>
  <si>
    <t>O1525</t>
  </si>
  <si>
    <t>C1526</t>
  </si>
  <si>
    <t>O1526</t>
  </si>
  <si>
    <t>C1527</t>
  </si>
  <si>
    <t>O1527</t>
  </si>
  <si>
    <t>C1528</t>
  </si>
  <si>
    <t>O1528</t>
  </si>
  <si>
    <t>C1529</t>
  </si>
  <si>
    <t>O1529</t>
  </si>
  <si>
    <t>C1530</t>
  </si>
  <si>
    <t>O1530</t>
  </si>
  <si>
    <t>C1531</t>
  </si>
  <si>
    <t>O1531</t>
  </si>
  <si>
    <t>C1532</t>
  </si>
  <si>
    <t>O1532</t>
  </si>
  <si>
    <t>C1533</t>
  </si>
  <si>
    <t>O1533</t>
  </si>
  <si>
    <t>C1534</t>
  </si>
  <si>
    <t>O1534</t>
  </si>
  <si>
    <t>C1535</t>
  </si>
  <si>
    <t>O1535</t>
  </si>
  <si>
    <t>C1536</t>
  </si>
  <si>
    <t>O1536</t>
  </si>
  <si>
    <t>C1537</t>
  </si>
  <si>
    <t>O1537</t>
  </si>
  <si>
    <t>C1538</t>
  </si>
  <si>
    <t>O1538</t>
  </si>
  <si>
    <t>C1539</t>
  </si>
  <si>
    <t>O1539</t>
  </si>
  <si>
    <t>C1540</t>
  </si>
  <si>
    <t>O1540</t>
  </si>
  <si>
    <t>C1541</t>
  </si>
  <si>
    <t>O1541</t>
  </si>
  <si>
    <t>C1542</t>
  </si>
  <si>
    <t>O1542</t>
  </si>
  <si>
    <t>C1543</t>
  </si>
  <si>
    <t>O1543</t>
  </si>
  <si>
    <t>C1544</t>
  </si>
  <si>
    <t>O1544</t>
  </si>
  <si>
    <t>C1545</t>
  </si>
  <si>
    <t>O1545</t>
  </si>
  <si>
    <t>C1546</t>
  </si>
  <si>
    <t>O1546</t>
  </si>
  <si>
    <t>C1547</t>
  </si>
  <si>
    <t>O1547</t>
  </si>
  <si>
    <t>C1548</t>
  </si>
  <si>
    <t>O1548</t>
  </si>
  <si>
    <t>C1549</t>
  </si>
  <si>
    <t>O1549</t>
  </si>
  <si>
    <t>C1550</t>
  </si>
  <si>
    <t>O1550</t>
  </si>
  <si>
    <t>C1551</t>
  </si>
  <si>
    <t>O1551</t>
  </si>
  <si>
    <t>C1552</t>
  </si>
  <si>
    <t>O1552</t>
  </si>
  <si>
    <t>C1553</t>
  </si>
  <si>
    <t>O1553</t>
  </si>
  <si>
    <t>C1554</t>
  </si>
  <si>
    <t>O1554</t>
  </si>
  <si>
    <t>C1555</t>
  </si>
  <si>
    <t>O1555</t>
  </si>
  <si>
    <t>C1556</t>
  </si>
  <si>
    <t>O1556</t>
  </si>
  <si>
    <t>C1557</t>
  </si>
  <si>
    <t>O1557</t>
  </si>
  <si>
    <t>C1558</t>
  </si>
  <si>
    <t>O1558</t>
  </si>
  <si>
    <t>C1559</t>
  </si>
  <si>
    <t>O1559</t>
  </si>
  <si>
    <t>C1560</t>
  </si>
  <si>
    <t>O1560</t>
  </si>
  <si>
    <t>C1561</t>
  </si>
  <si>
    <t>O1561</t>
  </si>
  <si>
    <t>C1562</t>
  </si>
  <si>
    <t>O1562</t>
  </si>
  <si>
    <t>C1563</t>
  </si>
  <si>
    <t>O1563</t>
  </si>
  <si>
    <t>C1564</t>
  </si>
  <si>
    <t>O1564</t>
  </si>
  <si>
    <t>C1565</t>
  </si>
  <si>
    <t>O1565</t>
  </si>
  <si>
    <t>C1566</t>
  </si>
  <si>
    <t>O1566</t>
  </si>
  <si>
    <t>C1567</t>
  </si>
  <si>
    <t>O1567</t>
  </si>
  <si>
    <t>C1568</t>
  </si>
  <si>
    <t>O1568</t>
  </si>
  <si>
    <t>C1569</t>
  </si>
  <si>
    <t>O1569</t>
  </si>
  <si>
    <t>C1570</t>
  </si>
  <si>
    <t>O1570</t>
  </si>
  <si>
    <t>C1571</t>
  </si>
  <si>
    <t>O1571</t>
  </si>
  <si>
    <t>C1572</t>
  </si>
  <si>
    <t>O1572</t>
  </si>
  <si>
    <t>C1573</t>
  </si>
  <si>
    <t>O1573</t>
  </si>
  <si>
    <t>C1574</t>
  </si>
  <si>
    <t>O1574</t>
  </si>
  <si>
    <t>C1575</t>
  </si>
  <si>
    <t>O1575</t>
  </si>
  <si>
    <t>C1576</t>
  </si>
  <si>
    <t>O1576</t>
  </si>
  <si>
    <t>C1577</t>
  </si>
  <si>
    <t>O1577</t>
  </si>
  <si>
    <t>C1578</t>
  </si>
  <si>
    <t>O1578</t>
  </si>
  <si>
    <t>C1579</t>
  </si>
  <si>
    <t>O1579</t>
  </si>
  <si>
    <t>C1580</t>
  </si>
  <si>
    <t>O1580</t>
  </si>
  <si>
    <t>C1581</t>
  </si>
  <si>
    <t>O1581</t>
  </si>
  <si>
    <t>C1582</t>
  </si>
  <si>
    <t>O1582</t>
  </si>
  <si>
    <t>C1583</t>
  </si>
  <si>
    <t>O1583</t>
  </si>
  <si>
    <t>C1584</t>
  </si>
  <si>
    <t>O1584</t>
  </si>
  <si>
    <t>C1585</t>
  </si>
  <si>
    <t>O1585</t>
  </si>
  <si>
    <t>C1586</t>
  </si>
  <si>
    <t>O1586</t>
  </si>
  <si>
    <t>C1587</t>
  </si>
  <si>
    <t>O1587</t>
  </si>
  <si>
    <t>C1588</t>
  </si>
  <si>
    <t>O1588</t>
  </si>
  <si>
    <t>C1589</t>
  </si>
  <si>
    <t>O1589</t>
  </si>
  <si>
    <t>C1590</t>
  </si>
  <si>
    <t>O1590</t>
  </si>
  <si>
    <t>C1591</t>
  </si>
  <si>
    <t>O1591</t>
  </si>
  <si>
    <t>C1592</t>
  </si>
  <si>
    <t>O1592</t>
  </si>
  <si>
    <t>C1593</t>
  </si>
  <si>
    <t>O1593</t>
  </si>
  <si>
    <t>C1594</t>
  </si>
  <si>
    <t>O1594</t>
  </si>
  <si>
    <t>C1595</t>
  </si>
  <si>
    <t>O1595</t>
  </si>
  <si>
    <t>C1596</t>
  </si>
  <si>
    <t>O1596</t>
  </si>
  <si>
    <t>C1597</t>
  </si>
  <si>
    <t>O1597</t>
  </si>
  <si>
    <t>C1598</t>
  </si>
  <si>
    <t>O1598</t>
  </si>
  <si>
    <t>C1599</t>
  </si>
  <si>
    <t>O1599</t>
  </si>
  <si>
    <t>C1600</t>
  </si>
  <si>
    <t>O1600</t>
  </si>
  <si>
    <t>C1601</t>
  </si>
  <si>
    <t>O1601</t>
  </si>
  <si>
    <t>C1602</t>
  </si>
  <si>
    <t>O1602</t>
  </si>
  <si>
    <t>C1603</t>
  </si>
  <si>
    <t>O1603</t>
  </si>
  <si>
    <t>C1604</t>
  </si>
  <si>
    <t>O1604</t>
  </si>
  <si>
    <t>C1605</t>
  </si>
  <si>
    <t>O1605</t>
  </si>
  <si>
    <t>C1606</t>
  </si>
  <si>
    <t>O1606</t>
  </si>
  <si>
    <t>C1607</t>
  </si>
  <si>
    <t>O1607</t>
  </si>
  <si>
    <t>C1608</t>
  </si>
  <si>
    <t>O1608</t>
  </si>
  <si>
    <t>C1609</t>
  </si>
  <si>
    <t>O1609</t>
  </si>
  <si>
    <t>C1610</t>
  </si>
  <si>
    <t>O1610</t>
  </si>
  <si>
    <t>C1611</t>
  </si>
  <si>
    <t>O1611</t>
  </si>
  <si>
    <t>C1612</t>
  </si>
  <si>
    <t>O1612</t>
  </si>
  <si>
    <t>C1613</t>
  </si>
  <si>
    <t>O1613</t>
  </si>
  <si>
    <t>C1614</t>
  </si>
  <si>
    <t>O1614</t>
  </si>
  <si>
    <t>C1615</t>
  </si>
  <si>
    <t>O1615</t>
  </si>
  <si>
    <t>C1616</t>
  </si>
  <si>
    <t>O1616</t>
  </si>
  <si>
    <t>C1617</t>
  </si>
  <si>
    <t>O1617</t>
  </si>
  <si>
    <t>C1618</t>
  </si>
  <si>
    <t>O1618</t>
  </si>
  <si>
    <t>C1619</t>
  </si>
  <si>
    <t>O1619</t>
  </si>
  <si>
    <t>C1620</t>
  </si>
  <si>
    <t>O1620</t>
  </si>
  <si>
    <t>C1621</t>
  </si>
  <si>
    <t>O1621</t>
  </si>
  <si>
    <t>C1622</t>
  </si>
  <si>
    <t>O1622</t>
  </si>
  <si>
    <t>C1623</t>
  </si>
  <si>
    <t>O1623</t>
  </si>
  <si>
    <t>C1624</t>
  </si>
  <si>
    <t>O1624</t>
  </si>
  <si>
    <t>C1625</t>
  </si>
  <si>
    <t>O1625</t>
  </si>
  <si>
    <t>C1626</t>
  </si>
  <si>
    <t>O1626</t>
  </si>
  <si>
    <t>C1627</t>
  </si>
  <si>
    <t>O1627</t>
  </si>
  <si>
    <t>C1628</t>
  </si>
  <si>
    <t>O1628</t>
  </si>
  <si>
    <t>C1629</t>
  </si>
  <si>
    <t>O1629</t>
  </si>
  <si>
    <t>C1630</t>
  </si>
  <si>
    <t>O1630</t>
  </si>
  <si>
    <t>C1631</t>
  </si>
  <si>
    <t>O1631</t>
  </si>
  <si>
    <t>C1632</t>
  </si>
  <si>
    <t>O1632</t>
  </si>
  <si>
    <t>C1633</t>
  </si>
  <si>
    <t>O1633</t>
  </si>
  <si>
    <t>C1634</t>
  </si>
  <si>
    <t>O1634</t>
  </si>
  <si>
    <t>C1635</t>
  </si>
  <si>
    <t>O1635</t>
  </si>
  <si>
    <t>C1636</t>
  </si>
  <si>
    <t>O1636</t>
  </si>
  <si>
    <t>C1637</t>
  </si>
  <si>
    <t>O1637</t>
  </si>
  <si>
    <t>C1638</t>
  </si>
  <si>
    <t>O1638</t>
  </si>
  <si>
    <t>C1639</t>
  </si>
  <si>
    <t>O1639</t>
  </si>
  <si>
    <t>C1640</t>
  </si>
  <si>
    <t>O1640</t>
  </si>
  <si>
    <t>C1641</t>
  </si>
  <si>
    <t>O1641</t>
  </si>
  <si>
    <t>C1642</t>
  </si>
  <si>
    <t>O1642</t>
  </si>
  <si>
    <t>C1643</t>
  </si>
  <si>
    <t>O1643</t>
  </si>
  <si>
    <t>C1644</t>
  </si>
  <si>
    <t>O1644</t>
  </si>
  <si>
    <t>C1645</t>
  </si>
  <si>
    <t>O1645</t>
  </si>
  <si>
    <t>C1646</t>
  </si>
  <si>
    <t>O1646</t>
  </si>
  <si>
    <t>C1647</t>
  </si>
  <si>
    <t>O1647</t>
  </si>
  <si>
    <t>C1648</t>
  </si>
  <si>
    <t>O1648</t>
  </si>
  <si>
    <t>C1649</t>
  </si>
  <si>
    <t>O1649</t>
  </si>
  <si>
    <t>C1650</t>
  </si>
  <si>
    <t>O1650</t>
  </si>
  <si>
    <t>C1651</t>
  </si>
  <si>
    <t>O1651</t>
  </si>
  <si>
    <t>C1652</t>
  </si>
  <si>
    <t>O1652</t>
  </si>
  <si>
    <t>C1653</t>
  </si>
  <si>
    <t>O1653</t>
  </si>
  <si>
    <t>C1654</t>
  </si>
  <si>
    <t>O1654</t>
  </si>
  <si>
    <t>C1655</t>
  </si>
  <si>
    <t>O1655</t>
  </si>
  <si>
    <t>C1656</t>
  </si>
  <si>
    <t>O1656</t>
  </si>
  <si>
    <t>C1657</t>
  </si>
  <si>
    <t>O1657</t>
  </si>
  <si>
    <t>C1658</t>
  </si>
  <si>
    <t>O1658</t>
  </si>
  <si>
    <t>C1659</t>
  </si>
  <si>
    <t>O1659</t>
  </si>
  <si>
    <t>C1660</t>
  </si>
  <si>
    <t>O1660</t>
  </si>
  <si>
    <t>C1661</t>
  </si>
  <si>
    <t>O1661</t>
  </si>
  <si>
    <t>C1662</t>
  </si>
  <si>
    <t>O1662</t>
  </si>
  <si>
    <t>C1663</t>
  </si>
  <si>
    <t>O1663</t>
  </si>
  <si>
    <t>C1664</t>
  </si>
  <si>
    <t>O1664</t>
  </si>
  <si>
    <t>C1665</t>
  </si>
  <si>
    <t>O1665</t>
  </si>
  <si>
    <t>C1666</t>
  </si>
  <si>
    <t>O1666</t>
  </si>
  <si>
    <t>C1667</t>
  </si>
  <si>
    <t>O1667</t>
  </si>
  <si>
    <t>C1668</t>
  </si>
  <si>
    <t>O1668</t>
  </si>
  <si>
    <t>C1669</t>
  </si>
  <si>
    <t>O1669</t>
  </si>
  <si>
    <t>C1670</t>
  </si>
  <si>
    <t>O1670</t>
  </si>
  <si>
    <t>C1671</t>
  </si>
  <si>
    <t>O1671</t>
  </si>
  <si>
    <t>C1672</t>
  </si>
  <si>
    <t>O1672</t>
  </si>
  <si>
    <t>C1673</t>
  </si>
  <si>
    <t>O1673</t>
  </si>
  <si>
    <t>C1674</t>
  </si>
  <si>
    <t>O1674</t>
  </si>
  <si>
    <t>C1675</t>
  </si>
  <si>
    <t>O1675</t>
  </si>
  <si>
    <t>C1676</t>
  </si>
  <si>
    <t>O1676</t>
  </si>
  <si>
    <t>C1677</t>
  </si>
  <si>
    <t>O1677</t>
  </si>
  <si>
    <t>C1678</t>
  </si>
  <si>
    <t>O1678</t>
  </si>
  <si>
    <t>C1679</t>
  </si>
  <si>
    <t>O1679</t>
  </si>
  <si>
    <t>C1680</t>
  </si>
  <si>
    <t>O1680</t>
  </si>
  <si>
    <t>C1681</t>
  </si>
  <si>
    <t>O1681</t>
  </si>
  <si>
    <t>C1682</t>
  </si>
  <si>
    <t>O1682</t>
  </si>
  <si>
    <t>C1683</t>
  </si>
  <si>
    <t>O1683</t>
  </si>
  <si>
    <t>C1684</t>
  </si>
  <si>
    <t>O1684</t>
  </si>
  <si>
    <t>C1685</t>
  </si>
  <si>
    <t>O1685</t>
  </si>
  <si>
    <t>C1686</t>
  </si>
  <si>
    <t>O1686</t>
  </si>
  <si>
    <t>C1687</t>
  </si>
  <si>
    <t>O1687</t>
  </si>
  <si>
    <t>C1688</t>
  </si>
  <si>
    <t>O1688</t>
  </si>
  <si>
    <t>C1689</t>
  </si>
  <si>
    <t>O1689</t>
  </si>
  <si>
    <t>C1690</t>
  </si>
  <si>
    <t>O1690</t>
  </si>
  <si>
    <t>C1691</t>
  </si>
  <si>
    <t>O1691</t>
  </si>
  <si>
    <t>C1692</t>
  </si>
  <si>
    <t>O1692</t>
  </si>
  <si>
    <t>C1693</t>
  </si>
  <si>
    <t>O1693</t>
  </si>
  <si>
    <t>C1694</t>
  </si>
  <si>
    <t>O1694</t>
  </si>
  <si>
    <t>C1695</t>
  </si>
  <si>
    <t>O1695</t>
  </si>
  <si>
    <t>C1696</t>
  </si>
  <si>
    <t>O1696</t>
  </si>
  <si>
    <t>C1697</t>
  </si>
  <si>
    <t>O1697</t>
  </si>
  <si>
    <t>C1698</t>
  </si>
  <si>
    <t>O1698</t>
  </si>
  <si>
    <t>C1699</t>
  </si>
  <si>
    <t>O1699</t>
  </si>
  <si>
    <t>C1700</t>
  </si>
  <si>
    <t>O1700</t>
  </si>
  <si>
    <t>C1701</t>
  </si>
  <si>
    <t>O1701</t>
  </si>
  <si>
    <t>C1702</t>
  </si>
  <si>
    <t>O1702</t>
  </si>
  <si>
    <t>C1703</t>
  </si>
  <si>
    <t>O1703</t>
  </si>
  <si>
    <t>C1704</t>
  </si>
  <si>
    <t>O1704</t>
  </si>
  <si>
    <t>C1705</t>
  </si>
  <si>
    <t>O1705</t>
  </si>
  <si>
    <t>C1706</t>
  </si>
  <si>
    <t>O1706</t>
  </si>
  <si>
    <t>C1707</t>
  </si>
  <si>
    <t>O1707</t>
  </si>
  <si>
    <t>C1708</t>
  </si>
  <si>
    <t>O1708</t>
  </si>
  <si>
    <t>C1709</t>
  </si>
  <si>
    <t>O1709</t>
  </si>
  <si>
    <t>C1710</t>
  </si>
  <si>
    <t>O1710</t>
  </si>
  <si>
    <t>C1711</t>
  </si>
  <si>
    <t>O1711</t>
  </si>
  <si>
    <t>C1712</t>
  </si>
  <si>
    <t>O1712</t>
  </si>
  <si>
    <t>C1713</t>
  </si>
  <si>
    <t>O1713</t>
  </si>
  <si>
    <t>C1714</t>
  </si>
  <si>
    <t>O1714</t>
  </si>
  <si>
    <t>C1715</t>
  </si>
  <si>
    <t>O1715</t>
  </si>
  <si>
    <t>C1716</t>
  </si>
  <si>
    <t>O1716</t>
  </si>
  <si>
    <t>C1717</t>
  </si>
  <si>
    <t>O1717</t>
  </si>
  <si>
    <t>C1718</t>
  </si>
  <si>
    <t>O1718</t>
  </si>
  <si>
    <t>C1719</t>
  </si>
  <si>
    <t>O1719</t>
  </si>
  <si>
    <t>C1720</t>
  </si>
  <si>
    <t>O1720</t>
  </si>
  <si>
    <t>C1721</t>
  </si>
  <si>
    <t>O1721</t>
  </si>
  <si>
    <t>C1722</t>
  </si>
  <si>
    <t>O1722</t>
  </si>
  <si>
    <t>C1723</t>
  </si>
  <si>
    <t>O1723</t>
  </si>
  <si>
    <t>C1724</t>
  </si>
  <si>
    <t>O1724</t>
  </si>
  <si>
    <t>C1725</t>
  </si>
  <si>
    <t>O1725</t>
  </si>
  <si>
    <t>C1726</t>
  </si>
  <si>
    <t>O1726</t>
  </si>
  <si>
    <t>C1727</t>
  </si>
  <si>
    <t>O1727</t>
  </si>
  <si>
    <t>C1728</t>
  </si>
  <si>
    <t>O1728</t>
  </si>
  <si>
    <t>C1729</t>
  </si>
  <si>
    <t>O1729</t>
  </si>
  <si>
    <t>C1730</t>
  </si>
  <si>
    <t>O1730</t>
  </si>
  <si>
    <t>C1731</t>
  </si>
  <si>
    <t>O1731</t>
  </si>
  <si>
    <t>C1732</t>
  </si>
  <si>
    <t>O1732</t>
  </si>
  <si>
    <t>C1733</t>
  </si>
  <si>
    <t>O1733</t>
  </si>
  <si>
    <t>C1734</t>
  </si>
  <si>
    <t>O1734</t>
  </si>
  <si>
    <t>C1735</t>
  </si>
  <si>
    <t>O1735</t>
  </si>
  <si>
    <t>C1736</t>
  </si>
  <si>
    <t>O1736</t>
  </si>
  <si>
    <t>C1737</t>
  </si>
  <si>
    <t>O1737</t>
  </si>
  <si>
    <t>C1738</t>
  </si>
  <si>
    <t>O1738</t>
  </si>
  <si>
    <t>C1739</t>
  </si>
  <si>
    <t>O1739</t>
  </si>
  <si>
    <t>C1740</t>
  </si>
  <si>
    <t>O1740</t>
  </si>
  <si>
    <t>C1741</t>
  </si>
  <si>
    <t>O1741</t>
  </si>
  <si>
    <t>C1742</t>
  </si>
  <si>
    <t>O1742</t>
  </si>
  <si>
    <t>C1743</t>
  </si>
  <si>
    <t>O1743</t>
  </si>
  <si>
    <t>C1744</t>
  </si>
  <si>
    <t>O1744</t>
  </si>
  <si>
    <t>C1745</t>
  </si>
  <si>
    <t>O1745</t>
  </si>
  <si>
    <t>C1746</t>
  </si>
  <si>
    <t>O1746</t>
  </si>
  <si>
    <t>C1747</t>
  </si>
  <si>
    <t>O1747</t>
  </si>
  <si>
    <t>C1748</t>
  </si>
  <si>
    <t>O1748</t>
  </si>
  <si>
    <t>C1749</t>
  </si>
  <si>
    <t>O1749</t>
  </si>
  <si>
    <t>C1750</t>
  </si>
  <si>
    <t>O1750</t>
  </si>
  <si>
    <t>C1751</t>
  </si>
  <si>
    <t>O1751</t>
  </si>
  <si>
    <t>C1752</t>
  </si>
  <si>
    <t>O1752</t>
  </si>
  <si>
    <t>C1753</t>
  </si>
  <si>
    <t>O1753</t>
  </si>
  <si>
    <t>C1754</t>
  </si>
  <si>
    <t>O1754</t>
  </si>
  <si>
    <t>C1755</t>
  </si>
  <si>
    <t>O1755</t>
  </si>
  <si>
    <t>C1756</t>
  </si>
  <si>
    <t>O1756</t>
  </si>
  <si>
    <t>C1757</t>
  </si>
  <si>
    <t>O1757</t>
  </si>
  <si>
    <t>C1758</t>
  </si>
  <si>
    <t>O1758</t>
  </si>
  <si>
    <t>C1759</t>
  </si>
  <si>
    <t>O1759</t>
  </si>
  <si>
    <t>C1760</t>
  </si>
  <si>
    <t>O1760</t>
  </si>
  <si>
    <t>C1761</t>
  </si>
  <si>
    <t>O1761</t>
  </si>
  <si>
    <t>C1762</t>
  </si>
  <si>
    <t>O1762</t>
  </si>
  <si>
    <t>C1763</t>
  </si>
  <si>
    <t>O1763</t>
  </si>
  <si>
    <t>C1764</t>
  </si>
  <si>
    <t>O1764</t>
  </si>
  <si>
    <t>C1765</t>
  </si>
  <si>
    <t>O1765</t>
  </si>
  <si>
    <t>C1766</t>
  </si>
  <si>
    <t>O1766</t>
  </si>
  <si>
    <t>C1767</t>
  </si>
  <si>
    <t>O1767</t>
  </si>
  <si>
    <t>C1768</t>
  </si>
  <si>
    <t>O1768</t>
  </si>
  <si>
    <t>C1769</t>
  </si>
  <si>
    <t>O1769</t>
  </si>
  <si>
    <t>C1770</t>
  </si>
  <si>
    <t>O1770</t>
  </si>
  <si>
    <t>C1771</t>
  </si>
  <si>
    <t>O1771</t>
  </si>
  <si>
    <t>C1772</t>
  </si>
  <si>
    <t>O1772</t>
  </si>
  <si>
    <t>C1773</t>
  </si>
  <si>
    <t>O1773</t>
  </si>
  <si>
    <t>C1774</t>
  </si>
  <si>
    <t>O1774</t>
  </si>
  <si>
    <t>C1775</t>
  </si>
  <si>
    <t>O1775</t>
  </si>
  <si>
    <t>C1776</t>
  </si>
  <si>
    <t>O1776</t>
  </si>
  <si>
    <t>C1777</t>
  </si>
  <si>
    <t>O1777</t>
  </si>
  <si>
    <t>C1778</t>
  </si>
  <si>
    <t>O1778</t>
  </si>
  <si>
    <t>C1779</t>
  </si>
  <si>
    <t>O1779</t>
  </si>
  <si>
    <t>C1780</t>
  </si>
  <si>
    <t>O1780</t>
  </si>
  <si>
    <t>C1781</t>
  </si>
  <si>
    <t>O1781</t>
  </si>
  <si>
    <t>C1782</t>
  </si>
  <si>
    <t>O1782</t>
  </si>
  <si>
    <t>C1783</t>
  </si>
  <si>
    <t>O1783</t>
  </si>
  <si>
    <t>C1784</t>
  </si>
  <si>
    <t>O1784</t>
  </si>
  <si>
    <t>C1785</t>
  </si>
  <si>
    <t>O1785</t>
  </si>
  <si>
    <t>C1786</t>
  </si>
  <si>
    <t>O1786</t>
  </si>
  <si>
    <t>C1787</t>
  </si>
  <si>
    <t>O1787</t>
  </si>
  <si>
    <t>C1788</t>
  </si>
  <si>
    <t>O1788</t>
  </si>
  <si>
    <t>C1789</t>
  </si>
  <si>
    <t>O1789</t>
  </si>
  <si>
    <t>C1790</t>
  </si>
  <si>
    <t>O1790</t>
  </si>
  <si>
    <t>C1791</t>
  </si>
  <si>
    <t>O1791</t>
  </si>
  <si>
    <t>C1792</t>
  </si>
  <si>
    <t>O1792</t>
  </si>
  <si>
    <t>C1793</t>
  </si>
  <si>
    <t>O1793</t>
  </si>
  <si>
    <t>C1794</t>
  </si>
  <si>
    <t>O1794</t>
  </si>
  <si>
    <t>C1795</t>
  </si>
  <si>
    <t>O1795</t>
  </si>
  <si>
    <t>C1796</t>
  </si>
  <si>
    <t>O1796</t>
  </si>
  <si>
    <t>C1797</t>
  </si>
  <si>
    <t>O1797</t>
  </si>
  <si>
    <t>C1798</t>
  </si>
  <si>
    <t>O1798</t>
  </si>
  <si>
    <t>C1799</t>
  </si>
  <si>
    <t>O1799</t>
  </si>
  <si>
    <t>C1800</t>
  </si>
  <si>
    <t>O1800</t>
  </si>
  <si>
    <t>C1801</t>
  </si>
  <si>
    <t>O1801</t>
  </si>
  <si>
    <t>C1802</t>
  </si>
  <si>
    <t>O1802</t>
  </si>
  <si>
    <t>C1803</t>
  </si>
  <si>
    <t>O1803</t>
  </si>
  <si>
    <t>C1804</t>
  </si>
  <si>
    <t>O1804</t>
  </si>
  <si>
    <t>C1805</t>
  </si>
  <si>
    <t>O1805</t>
  </si>
  <si>
    <t>C1806</t>
  </si>
  <si>
    <t>O1806</t>
  </si>
  <si>
    <t>C1807</t>
  </si>
  <si>
    <t>O1807</t>
  </si>
  <si>
    <t>C1808</t>
  </si>
  <si>
    <t>O1808</t>
  </si>
  <si>
    <t>C1809</t>
  </si>
  <si>
    <t>O1809</t>
  </si>
  <si>
    <t>C1810</t>
  </si>
  <si>
    <t>O1810</t>
  </si>
  <si>
    <t>C1811</t>
  </si>
  <si>
    <t>O1811</t>
  </si>
  <si>
    <t>C1812</t>
  </si>
  <si>
    <t>O1812</t>
  </si>
  <si>
    <t>C1813</t>
  </si>
  <si>
    <t>O1813</t>
  </si>
  <si>
    <t>C1814</t>
  </si>
  <si>
    <t>O1814</t>
  </si>
  <si>
    <t>C1815</t>
  </si>
  <si>
    <t>O1815</t>
  </si>
  <si>
    <t>C1816</t>
  </si>
  <si>
    <t>O1816</t>
  </si>
  <si>
    <t>C1817</t>
  </si>
  <si>
    <t>O1817</t>
  </si>
  <si>
    <t>C1818</t>
  </si>
  <si>
    <t>O1818</t>
  </si>
  <si>
    <t>C1819</t>
  </si>
  <si>
    <t>O1819</t>
  </si>
  <si>
    <t>C1820</t>
  </si>
  <si>
    <t>O1820</t>
  </si>
  <si>
    <t>C1821</t>
  </si>
  <si>
    <t>O1821</t>
  </si>
  <si>
    <t>C1822</t>
  </si>
  <si>
    <t>O1822</t>
  </si>
  <si>
    <t>C1823</t>
  </si>
  <si>
    <t>O1823</t>
  </si>
  <si>
    <t>C1824</t>
  </si>
  <si>
    <t>O1824</t>
  </si>
  <si>
    <t>C1825</t>
  </si>
  <si>
    <t>O1825</t>
  </si>
  <si>
    <t>C1826</t>
  </si>
  <si>
    <t>O1826</t>
  </si>
  <si>
    <t>C1827</t>
  </si>
  <si>
    <t>O1827</t>
  </si>
  <si>
    <t>C1828</t>
  </si>
  <si>
    <t>O1828</t>
  </si>
  <si>
    <t>C1829</t>
  </si>
  <si>
    <t>O1829</t>
  </si>
  <si>
    <t>C1830</t>
  </si>
  <si>
    <t>O1830</t>
  </si>
  <si>
    <t>C1831</t>
  </si>
  <si>
    <t>O1831</t>
  </si>
  <si>
    <t>C1832</t>
  </si>
  <si>
    <t>O1832</t>
  </si>
  <si>
    <t>C1833</t>
  </si>
  <si>
    <t>O1833</t>
  </si>
  <si>
    <t>C1834</t>
  </si>
  <si>
    <t>O1834</t>
  </si>
  <si>
    <t>C1835</t>
  </si>
  <si>
    <t>O1835</t>
  </si>
  <si>
    <t>C1836</t>
  </si>
  <si>
    <t>O1836</t>
  </si>
  <si>
    <t>C1837</t>
  </si>
  <si>
    <t>O1837</t>
  </si>
  <si>
    <t>C1838</t>
  </si>
  <si>
    <t>O1838</t>
  </si>
  <si>
    <t>C1839</t>
  </si>
  <si>
    <t>O1839</t>
  </si>
  <si>
    <t>C1840</t>
  </si>
  <si>
    <t>O1840</t>
  </si>
  <si>
    <t>C1841</t>
  </si>
  <si>
    <t>O1841</t>
  </si>
  <si>
    <t>C1842</t>
  </si>
  <si>
    <t>O1842</t>
  </si>
  <si>
    <t>C1843</t>
  </si>
  <si>
    <t>O1843</t>
  </si>
  <si>
    <t>C1844</t>
  </si>
  <si>
    <t>O1844</t>
  </si>
  <si>
    <t>C1845</t>
  </si>
  <si>
    <t>O1845</t>
  </si>
  <si>
    <t>C1846</t>
  </si>
  <si>
    <t>O1846</t>
  </si>
  <si>
    <t>C1847</t>
  </si>
  <si>
    <t>O1847</t>
  </si>
  <si>
    <t>C1848</t>
  </si>
  <si>
    <t>O1848</t>
  </si>
  <si>
    <t>C1849</t>
  </si>
  <si>
    <t>O1849</t>
  </si>
  <si>
    <t>C1850</t>
  </si>
  <si>
    <t>O1850</t>
  </si>
  <si>
    <t>C1851</t>
  </si>
  <si>
    <t>O1851</t>
  </si>
  <si>
    <t>C1852</t>
  </si>
  <si>
    <t>O1852</t>
  </si>
  <si>
    <t>C1853</t>
  </si>
  <si>
    <t>O1853</t>
  </si>
  <si>
    <t>C1854</t>
  </si>
  <si>
    <t>O1854</t>
  </si>
  <si>
    <t>C1855</t>
  </si>
  <si>
    <t>O1855</t>
  </si>
  <si>
    <t>C1856</t>
  </si>
  <si>
    <t>O1856</t>
  </si>
  <si>
    <t>C1857</t>
  </si>
  <si>
    <t>O1857</t>
  </si>
  <si>
    <t>C1858</t>
  </si>
  <si>
    <t>O1858</t>
  </si>
  <si>
    <t>C1859</t>
  </si>
  <si>
    <t>O1859</t>
  </si>
  <si>
    <t>C1860</t>
  </si>
  <si>
    <t>O1860</t>
  </si>
  <si>
    <t>C1861</t>
  </si>
  <si>
    <t>O1861</t>
  </si>
  <si>
    <t>C1862</t>
  </si>
  <si>
    <t>O1862</t>
  </si>
  <si>
    <t>C1863</t>
  </si>
  <si>
    <t>O1863</t>
  </si>
  <si>
    <t>C1864</t>
  </si>
  <si>
    <t>O1864</t>
  </si>
  <si>
    <t>C1865</t>
  </si>
  <si>
    <t>O1865</t>
  </si>
  <si>
    <t>C1866</t>
  </si>
  <si>
    <t>O1866</t>
  </si>
  <si>
    <t>C1867</t>
  </si>
  <si>
    <t>O1867</t>
  </si>
  <si>
    <t>C1868</t>
  </si>
  <si>
    <t>O1868</t>
  </si>
  <si>
    <t>C1869</t>
  </si>
  <si>
    <t>O1869</t>
  </si>
  <si>
    <t>C1870</t>
  </si>
  <si>
    <t>O1870</t>
  </si>
  <si>
    <t>C1871</t>
  </si>
  <si>
    <t>O1871</t>
  </si>
  <si>
    <t>C1872</t>
  </si>
  <si>
    <t>O1872</t>
  </si>
  <si>
    <t>C1873</t>
  </si>
  <si>
    <t>O1873</t>
  </si>
  <si>
    <t>C1874</t>
  </si>
  <si>
    <t>O1874</t>
  </si>
  <si>
    <t>C1875</t>
  </si>
  <si>
    <t>O1875</t>
  </si>
  <si>
    <t>C1876</t>
  </si>
  <si>
    <t>O1876</t>
  </si>
  <si>
    <t>C1877</t>
  </si>
  <si>
    <t>O1877</t>
  </si>
  <si>
    <t>C1878</t>
  </si>
  <si>
    <t>O1878</t>
  </si>
  <si>
    <t>C1879</t>
  </si>
  <si>
    <t>O1879</t>
  </si>
  <si>
    <t>C1880</t>
  </si>
  <si>
    <t>O1880</t>
  </si>
  <si>
    <t>C1881</t>
  </si>
  <si>
    <t>O1881</t>
  </si>
  <si>
    <t>C1882</t>
  </si>
  <si>
    <t>O1882</t>
  </si>
  <si>
    <t>C1883</t>
  </si>
  <si>
    <t>O1883</t>
  </si>
  <si>
    <t>C1884</t>
  </si>
  <si>
    <t>O1884</t>
  </si>
  <si>
    <t>C1885</t>
  </si>
  <si>
    <t>O1885</t>
  </si>
  <si>
    <t>C1886</t>
  </si>
  <si>
    <t>O1886</t>
  </si>
  <si>
    <t>C1887</t>
  </si>
  <si>
    <t>O1887</t>
  </si>
  <si>
    <t>C1888</t>
  </si>
  <si>
    <t>O1888</t>
  </si>
  <si>
    <t>C1889</t>
  </si>
  <si>
    <t>O1889</t>
  </si>
  <si>
    <t>C1890</t>
  </si>
  <si>
    <t>O1890</t>
  </si>
  <si>
    <t>C1891</t>
  </si>
  <si>
    <t>O1891</t>
  </si>
  <si>
    <t>C1892</t>
  </si>
  <si>
    <t>O1892</t>
  </si>
  <si>
    <t>C1893</t>
  </si>
  <si>
    <t>O1893</t>
  </si>
  <si>
    <t>C1894</t>
  </si>
  <si>
    <t>O1894</t>
  </si>
  <si>
    <t>C1895</t>
  </si>
  <si>
    <t>O1895</t>
  </si>
  <si>
    <t>C1896</t>
  </si>
  <si>
    <t>O1896</t>
  </si>
  <si>
    <t>C1897</t>
  </si>
  <si>
    <t>O1897</t>
  </si>
  <si>
    <t>C1898</t>
  </si>
  <si>
    <t>O1898</t>
  </si>
  <si>
    <t>C1899</t>
  </si>
  <si>
    <t>O1899</t>
  </si>
  <si>
    <t>C1900</t>
  </si>
  <si>
    <t>O1900</t>
  </si>
  <si>
    <t>C1901</t>
  </si>
  <si>
    <t>O1901</t>
  </si>
  <si>
    <t>C1902</t>
  </si>
  <si>
    <t>O1902</t>
  </si>
  <si>
    <t>C1903</t>
  </si>
  <si>
    <t>O1903</t>
  </si>
  <si>
    <t>C1904</t>
  </si>
  <si>
    <t>O1904</t>
  </si>
  <si>
    <t>C1905</t>
  </si>
  <si>
    <t>O1905</t>
  </si>
  <si>
    <t>C1906</t>
  </si>
  <si>
    <t>O1906</t>
  </si>
  <si>
    <t>C1907</t>
  </si>
  <si>
    <t>O1907</t>
  </si>
  <si>
    <t>C1908</t>
  </si>
  <si>
    <t>O1908</t>
  </si>
  <si>
    <t>C1909</t>
  </si>
  <si>
    <t>O1909</t>
  </si>
  <si>
    <t>C1910</t>
  </si>
  <si>
    <t>O1910</t>
  </si>
  <si>
    <t>C1911</t>
  </si>
  <si>
    <t>O1911</t>
  </si>
  <si>
    <t>C1912</t>
  </si>
  <si>
    <t>O1912</t>
  </si>
  <si>
    <t>C1913</t>
  </si>
  <si>
    <t>O1913</t>
  </si>
  <si>
    <t>C1914</t>
  </si>
  <si>
    <t>O1914</t>
  </si>
  <si>
    <t>C1915</t>
  </si>
  <si>
    <t>O1915</t>
  </si>
  <si>
    <t>C1916</t>
  </si>
  <si>
    <t>O1916</t>
  </si>
  <si>
    <t>C1917</t>
  </si>
  <si>
    <t>O1917</t>
  </si>
  <si>
    <t>C1918</t>
  </si>
  <si>
    <t>O1918</t>
  </si>
  <si>
    <t>C1919</t>
  </si>
  <si>
    <t>O1919</t>
  </si>
  <si>
    <t>C1920</t>
  </si>
  <si>
    <t>O1920</t>
  </si>
  <si>
    <t>C1921</t>
  </si>
  <si>
    <t>O1921</t>
  </si>
  <si>
    <t>C1922</t>
  </si>
  <si>
    <t>O1922</t>
  </si>
  <si>
    <t>C1923</t>
  </si>
  <si>
    <t>O1923</t>
  </si>
  <si>
    <t>C1924</t>
  </si>
  <si>
    <t>O1924</t>
  </si>
  <si>
    <t>C1925</t>
  </si>
  <si>
    <t>O1925</t>
  </si>
  <si>
    <t>C1926</t>
  </si>
  <si>
    <t>O1926</t>
  </si>
  <si>
    <t>C1927</t>
  </si>
  <si>
    <t>O1927</t>
  </si>
  <si>
    <t>C1928</t>
  </si>
  <si>
    <t>O1928</t>
  </si>
  <si>
    <t>C1929</t>
  </si>
  <si>
    <t>O1929</t>
  </si>
  <si>
    <t>C1930</t>
  </si>
  <si>
    <t>O1930</t>
  </si>
  <si>
    <t>C1931</t>
  </si>
  <si>
    <t>O1931</t>
  </si>
  <si>
    <t>C1932</t>
  </si>
  <si>
    <t>O1932</t>
  </si>
  <si>
    <t>C1933</t>
  </si>
  <si>
    <t>O1933</t>
  </si>
  <si>
    <t>C1934</t>
  </si>
  <si>
    <t>O1934</t>
  </si>
  <si>
    <t>C1935</t>
  </si>
  <si>
    <t>O1935</t>
  </si>
  <si>
    <t>C1936</t>
  </si>
  <si>
    <t>O1936</t>
  </si>
  <si>
    <t>C1937</t>
  </si>
  <si>
    <t>O1937</t>
  </si>
  <si>
    <t>C1938</t>
  </si>
  <si>
    <t>O1938</t>
  </si>
  <si>
    <t>C1939</t>
  </si>
  <si>
    <t>O1939</t>
  </si>
  <si>
    <t>C1940</t>
  </si>
  <si>
    <t>O1940</t>
  </si>
  <si>
    <t>C1941</t>
  </si>
  <si>
    <t>O1941</t>
  </si>
  <si>
    <t>C1942</t>
  </si>
  <si>
    <t>O1942</t>
  </si>
  <si>
    <t>C1943</t>
  </si>
  <si>
    <t>O1943</t>
  </si>
  <si>
    <t>C1944</t>
  </si>
  <si>
    <t>O1944</t>
  </si>
  <si>
    <t>C1945</t>
  </si>
  <si>
    <t>O1945</t>
  </si>
  <si>
    <t>C1946</t>
  </si>
  <si>
    <t>O1946</t>
  </si>
  <si>
    <t>C1947</t>
  </si>
  <si>
    <t>O1947</t>
  </si>
  <si>
    <t>C1948</t>
  </si>
  <si>
    <t>O1948</t>
  </si>
  <si>
    <t>C1949</t>
  </si>
  <si>
    <t>O1949</t>
  </si>
  <si>
    <t>C1950</t>
  </si>
  <si>
    <t>O1950</t>
  </si>
  <si>
    <t>C1951</t>
  </si>
  <si>
    <t>O1951</t>
  </si>
  <si>
    <t>C1952</t>
  </si>
  <si>
    <t>O1952</t>
  </si>
  <si>
    <t>C1953</t>
  </si>
  <si>
    <t>O1953</t>
  </si>
  <si>
    <t>C1954</t>
  </si>
  <si>
    <t>O1954</t>
  </si>
  <si>
    <t>C1955</t>
  </si>
  <si>
    <t>O1955</t>
  </si>
  <si>
    <t>C1956</t>
  </si>
  <si>
    <t>O1956</t>
  </si>
  <si>
    <t>C1957</t>
  </si>
  <si>
    <t>O1957</t>
  </si>
  <si>
    <t>C1958</t>
  </si>
  <si>
    <t>O1958</t>
  </si>
  <si>
    <t>C1959</t>
  </si>
  <si>
    <t>O1959</t>
  </si>
  <si>
    <t>C1960</t>
  </si>
  <si>
    <t>O1960</t>
  </si>
  <si>
    <t>C1961</t>
  </si>
  <si>
    <t>O1961</t>
  </si>
  <si>
    <t>C1962</t>
  </si>
  <si>
    <t>O1962</t>
  </si>
  <si>
    <t>C1963</t>
  </si>
  <si>
    <t>O1963</t>
  </si>
  <si>
    <t>C1964</t>
  </si>
  <si>
    <t>O1964</t>
  </si>
  <si>
    <t>C1965</t>
  </si>
  <si>
    <t>O1965</t>
  </si>
  <si>
    <t>C1966</t>
  </si>
  <si>
    <t>O1966</t>
  </si>
  <si>
    <t>C1967</t>
  </si>
  <si>
    <t>O1967</t>
  </si>
  <si>
    <t>C1968</t>
  </si>
  <si>
    <t>O1968</t>
  </si>
  <si>
    <t>C1969</t>
  </si>
  <si>
    <t>O1969</t>
  </si>
  <si>
    <t>C1970</t>
  </si>
  <si>
    <t>O1970</t>
  </si>
  <si>
    <t>C1971</t>
  </si>
  <si>
    <t>O1971</t>
  </si>
  <si>
    <t>C1972</t>
  </si>
  <si>
    <t>O1972</t>
  </si>
  <si>
    <t>C1973</t>
  </si>
  <si>
    <t>O1973</t>
  </si>
  <si>
    <t>C1974</t>
  </si>
  <si>
    <t>O1974</t>
  </si>
  <si>
    <t>C1975</t>
  </si>
  <si>
    <t>O1975</t>
  </si>
  <si>
    <t>C1976</t>
  </si>
  <si>
    <t>O1976</t>
  </si>
  <si>
    <t>C1977</t>
  </si>
  <si>
    <t>O1977</t>
  </si>
  <si>
    <t>C1978</t>
  </si>
  <si>
    <t>O1978</t>
  </si>
  <si>
    <t>C1979</t>
  </si>
  <si>
    <t>O1979</t>
  </si>
  <si>
    <t>C1980</t>
  </si>
  <si>
    <t>O1980</t>
  </si>
  <si>
    <t>C1981</t>
  </si>
  <si>
    <t>O1981</t>
  </si>
  <si>
    <t>C1982</t>
  </si>
  <si>
    <t>O1982</t>
  </si>
  <si>
    <t>C1983</t>
  </si>
  <si>
    <t>O1983</t>
  </si>
  <si>
    <t>C1984</t>
  </si>
  <si>
    <t>O1984</t>
  </si>
  <si>
    <t>C1985</t>
  </si>
  <si>
    <t>O1985</t>
  </si>
  <si>
    <t>C1986</t>
  </si>
  <si>
    <t>O1986</t>
  </si>
  <si>
    <t>C1987</t>
  </si>
  <si>
    <t>O1987</t>
  </si>
  <si>
    <t>C1988</t>
  </si>
  <si>
    <t>O1988</t>
  </si>
  <si>
    <t>C1989</t>
  </si>
  <si>
    <t>O1989</t>
  </si>
  <si>
    <t>C1990</t>
  </si>
  <si>
    <t>O1990</t>
  </si>
  <si>
    <t>C1991</t>
  </si>
  <si>
    <t>O1991</t>
  </si>
  <si>
    <t>C1992</t>
  </si>
  <si>
    <t>O1992</t>
  </si>
  <si>
    <t>C1993</t>
  </si>
  <si>
    <t>O1993</t>
  </si>
  <si>
    <t>C1994</t>
  </si>
  <si>
    <t>O1994</t>
  </si>
  <si>
    <t>C1995</t>
  </si>
  <si>
    <t>O1995</t>
  </si>
  <si>
    <t>C1996</t>
  </si>
  <si>
    <t>O1996</t>
  </si>
  <si>
    <t>C1997</t>
  </si>
  <si>
    <t>O1997</t>
  </si>
  <si>
    <t>C1998</t>
  </si>
  <si>
    <t>O1998</t>
  </si>
  <si>
    <t>C1999</t>
  </si>
  <si>
    <t>O1999</t>
  </si>
  <si>
    <t>C2000</t>
  </si>
  <si>
    <t>O2000</t>
  </si>
  <si>
    <t>C2001</t>
  </si>
  <si>
    <t>O2001</t>
  </si>
  <si>
    <t>C2002</t>
  </si>
  <si>
    <t>O2002</t>
  </si>
  <si>
    <t>C2003</t>
  </si>
  <si>
    <t>O2003</t>
  </si>
  <si>
    <t>C2004</t>
  </si>
  <si>
    <t>O2004</t>
  </si>
  <si>
    <t>C2005</t>
  </si>
  <si>
    <t>O2005</t>
  </si>
  <si>
    <t>C2006</t>
  </si>
  <si>
    <t>O2006</t>
  </si>
  <si>
    <t>C2007</t>
  </si>
  <si>
    <t>O2007</t>
  </si>
  <si>
    <t>C2008</t>
  </si>
  <si>
    <t>O2008</t>
  </si>
  <si>
    <t>C2009</t>
  </si>
  <si>
    <t>O2009</t>
  </si>
  <si>
    <t>C2010</t>
  </si>
  <si>
    <t>O2010</t>
  </si>
  <si>
    <t>C2011</t>
  </si>
  <si>
    <t>O2011</t>
  </si>
  <si>
    <t>C2012</t>
  </si>
  <si>
    <t>O2012</t>
  </si>
  <si>
    <t>C2013</t>
  </si>
  <si>
    <t>O2013</t>
  </si>
  <si>
    <t>C2014</t>
  </si>
  <si>
    <t>O2014</t>
  </si>
  <si>
    <t>C2015</t>
  </si>
  <si>
    <t>O2015</t>
  </si>
  <si>
    <t>C2016</t>
  </si>
  <si>
    <t>O2016</t>
  </si>
  <si>
    <t>C2017</t>
  </si>
  <si>
    <t>O2017</t>
  </si>
  <si>
    <t>C2018</t>
  </si>
  <si>
    <t>O2018</t>
  </si>
  <si>
    <t>C2019</t>
  </si>
  <si>
    <t>O2019</t>
  </si>
  <si>
    <t>C2020</t>
  </si>
  <si>
    <t>O2020</t>
  </si>
  <si>
    <t>C2021</t>
  </si>
  <si>
    <t>O2021</t>
  </si>
  <si>
    <t>C2022</t>
  </si>
  <si>
    <t>O2022</t>
  </si>
  <si>
    <t>C2023</t>
  </si>
  <si>
    <t>O2023</t>
  </si>
  <si>
    <t>C2024</t>
  </si>
  <si>
    <t>O2024</t>
  </si>
  <si>
    <t>C2025</t>
  </si>
  <si>
    <t>O2025</t>
  </si>
  <si>
    <t>C2026</t>
  </si>
  <si>
    <t>O2026</t>
  </si>
  <si>
    <t>C2027</t>
  </si>
  <si>
    <t>O2027</t>
  </si>
  <si>
    <t>C2028</t>
  </si>
  <si>
    <t>O2028</t>
  </si>
  <si>
    <t>C2029</t>
  </si>
  <si>
    <t>O2029</t>
  </si>
  <si>
    <t>C2030</t>
  </si>
  <si>
    <t>O2030</t>
  </si>
  <si>
    <t>C2031</t>
  </si>
  <si>
    <t>O2031</t>
  </si>
  <si>
    <t>C2032</t>
  </si>
  <si>
    <t>O2032</t>
  </si>
  <si>
    <t>C2033</t>
  </si>
  <si>
    <t>O2033</t>
  </si>
  <si>
    <t>C2034</t>
  </si>
  <si>
    <t>O2034</t>
  </si>
  <si>
    <t>C2035</t>
  </si>
  <si>
    <t>O2035</t>
  </si>
  <si>
    <t>C2036</t>
  </si>
  <si>
    <t>O2036</t>
  </si>
  <si>
    <t>C2037</t>
  </si>
  <si>
    <t>O2037</t>
  </si>
  <si>
    <t>C2038</t>
  </si>
  <si>
    <t>O2038</t>
  </si>
  <si>
    <t>C2039</t>
  </si>
  <si>
    <t>O2039</t>
  </si>
  <si>
    <t>C2040</t>
  </si>
  <si>
    <t>O2040</t>
  </si>
  <si>
    <t>C2041</t>
  </si>
  <si>
    <t>O2041</t>
  </si>
  <si>
    <t>C2042</t>
  </si>
  <si>
    <t>O2042</t>
  </si>
  <si>
    <t>C2043</t>
  </si>
  <si>
    <t>O2043</t>
  </si>
  <si>
    <t>C2044</t>
  </si>
  <si>
    <t>O2044</t>
  </si>
  <si>
    <t>C2045</t>
  </si>
  <si>
    <t>O2045</t>
  </si>
  <si>
    <t>C2046</t>
  </si>
  <si>
    <t>O2046</t>
  </si>
  <si>
    <t>C2047</t>
  </si>
  <si>
    <t>O2047</t>
  </si>
  <si>
    <t>C2048</t>
  </si>
  <si>
    <t>O2048</t>
  </si>
  <si>
    <t>C2049</t>
  </si>
  <si>
    <t>O2049</t>
  </si>
  <si>
    <t>C2050</t>
  </si>
  <si>
    <t>O2050</t>
  </si>
  <si>
    <t>C2051</t>
  </si>
  <si>
    <t>O2051</t>
  </si>
  <si>
    <t>C2052</t>
  </si>
  <si>
    <t>O2052</t>
  </si>
  <si>
    <t>C2053</t>
  </si>
  <si>
    <t>O2053</t>
  </si>
  <si>
    <t>C2054</t>
  </si>
  <si>
    <t>O2054</t>
  </si>
  <si>
    <t>C2055</t>
  </si>
  <si>
    <t>O2055</t>
  </si>
  <si>
    <t>C2056</t>
  </si>
  <si>
    <t>O2056</t>
  </si>
  <si>
    <t>C2057</t>
  </si>
  <si>
    <t>O2057</t>
  </si>
  <si>
    <t>C2058</t>
  </si>
  <si>
    <t>O2058</t>
  </si>
  <si>
    <t>C2059</t>
  </si>
  <si>
    <t>O2059</t>
  </si>
  <si>
    <t>C2060</t>
  </si>
  <si>
    <t>O2060</t>
  </si>
  <si>
    <t>C2061</t>
  </si>
  <si>
    <t>O2061</t>
  </si>
  <si>
    <t>C2062</t>
  </si>
  <si>
    <t>O2062</t>
  </si>
  <si>
    <t>C2063</t>
  </si>
  <si>
    <t>O2063</t>
  </si>
  <si>
    <t>C2064</t>
  </si>
  <si>
    <t>O2064</t>
  </si>
  <si>
    <t>C2065</t>
  </si>
  <si>
    <t>O2065</t>
  </si>
  <si>
    <t>C2066</t>
  </si>
  <si>
    <t>O2066</t>
  </si>
  <si>
    <t>C2067</t>
  </si>
  <si>
    <t>O2067</t>
  </si>
  <si>
    <t>C2068</t>
  </si>
  <si>
    <t>O2068</t>
  </si>
  <si>
    <t>C2069</t>
  </si>
  <si>
    <t>O2069</t>
  </si>
  <si>
    <t>C2070</t>
  </si>
  <si>
    <t>O2070</t>
  </si>
  <si>
    <t>C2071</t>
  </si>
  <si>
    <t>O2071</t>
  </si>
  <si>
    <t>C2072</t>
  </si>
  <si>
    <t>O2072</t>
  </si>
  <si>
    <t>C2073</t>
  </si>
  <si>
    <t>O2073</t>
  </si>
  <si>
    <t>C2074</t>
  </si>
  <si>
    <t>O2074</t>
  </si>
  <si>
    <t>C2075</t>
  </si>
  <si>
    <t>O2075</t>
  </si>
  <si>
    <t>C2076</t>
  </si>
  <si>
    <t>O2076</t>
  </si>
  <si>
    <t>C2077</t>
  </si>
  <si>
    <t>O2077</t>
  </si>
  <si>
    <t>C2078</t>
  </si>
  <si>
    <t>O2078</t>
  </si>
  <si>
    <t>C2079</t>
  </si>
  <si>
    <t>O2079</t>
  </si>
  <si>
    <t>C2080</t>
  </si>
  <si>
    <t>O2080</t>
  </si>
  <si>
    <t>C2081</t>
  </si>
  <si>
    <t>O2081</t>
  </si>
  <si>
    <t>C2082</t>
  </si>
  <si>
    <t>O2082</t>
  </si>
  <si>
    <t>C2083</t>
  </si>
  <si>
    <t>O2083</t>
  </si>
  <si>
    <t>C2084</t>
  </si>
  <si>
    <t>O2084</t>
  </si>
  <si>
    <t>C2085</t>
  </si>
  <si>
    <t>O2085</t>
  </si>
  <si>
    <t>C2086</t>
  </si>
  <si>
    <t>O2086</t>
  </si>
  <si>
    <t>C2087</t>
  </si>
  <si>
    <t>O2087</t>
  </si>
  <si>
    <t>C2088</t>
  </si>
  <si>
    <t>O2088</t>
  </si>
  <si>
    <t>C2089</t>
  </si>
  <si>
    <t>O2089</t>
  </si>
  <si>
    <t>C2090</t>
  </si>
  <si>
    <t>O2090</t>
  </si>
  <si>
    <t>C2091</t>
  </si>
  <si>
    <t>O2091</t>
  </si>
  <si>
    <t>C2092</t>
  </si>
  <si>
    <t>O2092</t>
  </si>
  <si>
    <t>C2093</t>
  </si>
  <si>
    <t>O2093</t>
  </si>
  <si>
    <t>C2094</t>
  </si>
  <si>
    <t>O2094</t>
  </si>
  <si>
    <t>C2095</t>
  </si>
  <si>
    <t>O2095</t>
  </si>
  <si>
    <t>C2096</t>
  </si>
  <si>
    <t>O2096</t>
  </si>
  <si>
    <t>C2097</t>
  </si>
  <si>
    <t>O2097</t>
  </si>
  <si>
    <t>C2098</t>
  </si>
  <si>
    <t>O2098</t>
  </si>
  <si>
    <t>C2099</t>
  </si>
  <si>
    <t>O2099</t>
  </si>
  <si>
    <t>C2100</t>
  </si>
  <si>
    <t>O2100</t>
  </si>
  <si>
    <t>C2101</t>
  </si>
  <si>
    <t>O2101</t>
  </si>
  <si>
    <t>C2102</t>
  </si>
  <si>
    <t>O2102</t>
  </si>
  <si>
    <t>C2103</t>
  </si>
  <si>
    <t>O2103</t>
  </si>
  <si>
    <t>C2104</t>
  </si>
  <si>
    <t>O2104</t>
  </si>
  <si>
    <t>C2105</t>
  </si>
  <si>
    <t>O2105</t>
  </si>
  <si>
    <t>C2106</t>
  </si>
  <si>
    <t>O2106</t>
  </si>
  <si>
    <t>C2107</t>
  </si>
  <si>
    <t>O2107</t>
  </si>
  <si>
    <t>C2108</t>
  </si>
  <si>
    <t>O2108</t>
  </si>
  <si>
    <t>C2109</t>
  </si>
  <si>
    <t>O2109</t>
  </si>
  <si>
    <t>C2110</t>
  </si>
  <si>
    <t>O2110</t>
  </si>
  <si>
    <t>C2111</t>
  </si>
  <si>
    <t>O2111</t>
  </si>
  <si>
    <t>C2112</t>
  </si>
  <si>
    <t>O2112</t>
  </si>
  <si>
    <t>C2113</t>
  </si>
  <si>
    <t>O2113</t>
  </si>
  <si>
    <t>C2114</t>
  </si>
  <si>
    <t>O2114</t>
  </si>
  <si>
    <t>C2115</t>
  </si>
  <si>
    <t>O2115</t>
  </si>
  <si>
    <t>C2116</t>
  </si>
  <si>
    <t>O2116</t>
  </si>
  <si>
    <t>C2117</t>
  </si>
  <si>
    <t>O2117</t>
  </si>
  <si>
    <t>C2118</t>
  </si>
  <si>
    <t>O2118</t>
  </si>
  <si>
    <t>C2119</t>
  </si>
  <si>
    <t>O2119</t>
  </si>
  <si>
    <t>C2120</t>
  </si>
  <si>
    <t>O2120</t>
  </si>
  <si>
    <t>C2121</t>
  </si>
  <si>
    <t>O2121</t>
  </si>
  <si>
    <t>C2122</t>
  </si>
  <si>
    <t>O2122</t>
  </si>
  <si>
    <t>C2123</t>
  </si>
  <si>
    <t>O2123</t>
  </si>
  <si>
    <t>C2124</t>
  </si>
  <si>
    <t>O2124</t>
  </si>
  <si>
    <t>C2125</t>
  </si>
  <si>
    <t>O2125</t>
  </si>
  <si>
    <t>C2126</t>
  </si>
  <si>
    <t>O2126</t>
  </si>
  <si>
    <t>C2127</t>
  </si>
  <si>
    <t>O2127</t>
  </si>
  <si>
    <t>C2128</t>
  </si>
  <si>
    <t>O2128</t>
  </si>
  <si>
    <t>C2129</t>
  </si>
  <si>
    <t>O2129</t>
  </si>
  <si>
    <t>C2130</t>
  </si>
  <si>
    <t>O2130</t>
  </si>
  <si>
    <t>C2131</t>
  </si>
  <si>
    <t>O2131</t>
  </si>
  <si>
    <t>C2132</t>
  </si>
  <si>
    <t>O2132</t>
  </si>
  <si>
    <t>C2133</t>
  </si>
  <si>
    <t>O2133</t>
  </si>
  <si>
    <t>C2134</t>
  </si>
  <si>
    <t>O2134</t>
  </si>
  <si>
    <t>C2135</t>
  </si>
  <si>
    <t>O2135</t>
  </si>
  <si>
    <t>C2136</t>
  </si>
  <si>
    <t>O2136</t>
  </si>
  <si>
    <t>C2137</t>
  </si>
  <si>
    <t>O2137</t>
  </si>
  <si>
    <t>C2138</t>
  </si>
  <si>
    <t>O2138</t>
  </si>
  <si>
    <t>C2139</t>
  </si>
  <si>
    <t>O2139</t>
  </si>
  <si>
    <t>C2140</t>
  </si>
  <si>
    <t>O2140</t>
  </si>
  <si>
    <t>C2141</t>
  </si>
  <si>
    <t>O2141</t>
  </si>
  <si>
    <t>C2142</t>
  </si>
  <si>
    <t>O2142</t>
  </si>
  <si>
    <t>C2143</t>
  </si>
  <si>
    <t>O2143</t>
  </si>
  <si>
    <t>C2144</t>
  </si>
  <si>
    <t>O2144</t>
  </si>
  <si>
    <t>C2145</t>
  </si>
  <si>
    <t>O2145</t>
  </si>
  <si>
    <t>C2146</t>
  </si>
  <si>
    <t>O2146</t>
  </si>
  <si>
    <t>C2147</t>
  </si>
  <si>
    <t>O2147</t>
  </si>
  <si>
    <t>C2148</t>
  </si>
  <si>
    <t>O2148</t>
  </si>
  <si>
    <t>C2149</t>
  </si>
  <si>
    <t>O2149</t>
  </si>
  <si>
    <t>C2150</t>
  </si>
  <si>
    <t>O2150</t>
  </si>
  <si>
    <t>C2151</t>
  </si>
  <si>
    <t>O2151</t>
  </si>
  <si>
    <t>C2152</t>
  </si>
  <si>
    <t>O2152</t>
  </si>
  <si>
    <t>C2153</t>
  </si>
  <si>
    <t>O2153</t>
  </si>
  <si>
    <t>C2154</t>
  </si>
  <si>
    <t>O2154</t>
  </si>
  <si>
    <t>C2155</t>
  </si>
  <si>
    <t>O2155</t>
  </si>
  <si>
    <t>C2156</t>
  </si>
  <si>
    <t>O2156</t>
  </si>
  <si>
    <t>C2157</t>
  </si>
  <si>
    <t>O2157</t>
  </si>
  <si>
    <t>C2158</t>
  </si>
  <si>
    <t>O2158</t>
  </si>
  <si>
    <t>C2159</t>
  </si>
  <si>
    <t>O2159</t>
  </si>
  <si>
    <t>C2160</t>
  </si>
  <si>
    <t>O2160</t>
  </si>
  <si>
    <t>C2161</t>
  </si>
  <si>
    <t>O2161</t>
  </si>
  <si>
    <t>C2162</t>
  </si>
  <si>
    <t>O2162</t>
  </si>
  <si>
    <t>C2163</t>
  </si>
  <si>
    <t>O2163</t>
  </si>
  <si>
    <t>C2164</t>
  </si>
  <si>
    <t>O2164</t>
  </si>
  <si>
    <t>C2165</t>
  </si>
  <si>
    <t>O2165</t>
  </si>
  <si>
    <t>C2166</t>
  </si>
  <si>
    <t>O2166</t>
  </si>
  <si>
    <t>C2167</t>
  </si>
  <si>
    <t>O2167</t>
  </si>
  <si>
    <t>C2168</t>
  </si>
  <si>
    <t>O2168</t>
  </si>
  <si>
    <t>C2169</t>
  </si>
  <si>
    <t>O2169</t>
  </si>
  <si>
    <t>C2170</t>
  </si>
  <si>
    <t>O2170</t>
  </si>
  <si>
    <t>C2171</t>
  </si>
  <si>
    <t>O2171</t>
  </si>
  <si>
    <t>C2172</t>
  </si>
  <si>
    <t>O2172</t>
  </si>
  <si>
    <t>C2173</t>
  </si>
  <si>
    <t>O2173</t>
  </si>
  <si>
    <t>C2174</t>
  </si>
  <si>
    <t>O2174</t>
  </si>
  <si>
    <t>C2175</t>
  </si>
  <si>
    <t>O2175</t>
  </si>
  <si>
    <t>C2176</t>
  </si>
  <si>
    <t>O2176</t>
  </si>
  <si>
    <t>C2177</t>
  </si>
  <si>
    <t>O2177</t>
  </si>
  <si>
    <t>Order Date</t>
  </si>
  <si>
    <t>Delivery Date</t>
  </si>
  <si>
    <t xml:space="preserve"> 5/1/2023</t>
  </si>
  <si>
    <t xml:space="preserve"> 10/1/2023</t>
  </si>
  <si>
    <t xml:space="preserve"> 9/1/2023</t>
  </si>
  <si>
    <t xml:space="preserve"> 7/1/2023</t>
  </si>
  <si>
    <t xml:space="preserve"> 6/1/2023</t>
  </si>
  <si>
    <t xml:space="preserve"> 12/1/2023</t>
  </si>
  <si>
    <t xml:space="preserve"> 16/1/2023</t>
  </si>
  <si>
    <t xml:space="preserve"> 14/1/2023</t>
  </si>
  <si>
    <t xml:space="preserve"> 17/1/2023</t>
  </si>
  <si>
    <t xml:space="preserve"> 15/1/2023</t>
  </si>
  <si>
    <t xml:space="preserve"> 19/1/2023</t>
  </si>
  <si>
    <t xml:space="preserve">13/1/2023 </t>
  </si>
  <si>
    <t xml:space="preserve"> 20/1/2023</t>
  </si>
  <si>
    <t xml:space="preserve">15/1/2023 </t>
  </si>
  <si>
    <t xml:space="preserve"> 22/1/2023</t>
  </si>
  <si>
    <t xml:space="preserve">17/1/2023 </t>
  </si>
  <si>
    <t xml:space="preserve"> 24/1/2023</t>
  </si>
  <si>
    <t xml:space="preserve">18/1/2023 </t>
  </si>
  <si>
    <t xml:space="preserve">20/1/2023 </t>
  </si>
  <si>
    <t xml:space="preserve"> 27/1/2023</t>
  </si>
  <si>
    <t xml:space="preserve">22/1/2023 </t>
  </si>
  <si>
    <t xml:space="preserve"> 29/1/2023</t>
  </si>
  <si>
    <t xml:space="preserve">23/1/2023 </t>
  </si>
  <si>
    <t xml:space="preserve"> 25/1/2023</t>
  </si>
  <si>
    <t xml:space="preserve">25/1/2023 </t>
  </si>
  <si>
    <t xml:space="preserve">26/1/2023 </t>
  </si>
  <si>
    <t xml:space="preserve"> 30/1/2023</t>
  </si>
  <si>
    <t xml:space="preserve">27/1/2023 </t>
  </si>
  <si>
    <t xml:space="preserve"> 1/2/2023</t>
  </si>
  <si>
    <t xml:space="preserve"> 31/1/2023</t>
  </si>
  <si>
    <t xml:space="preserve">29/1/2023 </t>
  </si>
  <si>
    <t xml:space="preserve"> 5/2/2023</t>
  </si>
  <si>
    <t xml:space="preserve"> 4/2/2023</t>
  </si>
  <si>
    <t xml:space="preserve">30/1/2023 </t>
  </si>
  <si>
    <t xml:space="preserve"> 6/2/2023</t>
  </si>
  <si>
    <t xml:space="preserve">31/1/2023 </t>
  </si>
  <si>
    <t xml:space="preserve"> 11/2/2023</t>
  </si>
  <si>
    <t xml:space="preserve"> 13/2/2023</t>
  </si>
  <si>
    <t xml:space="preserve"> 14/2/2023</t>
  </si>
  <si>
    <t xml:space="preserve"> 16/2/2023</t>
  </si>
  <si>
    <t xml:space="preserve"> 18/2/2023</t>
  </si>
  <si>
    <t xml:space="preserve">15/2/2023 </t>
  </si>
  <si>
    <t xml:space="preserve"> 17/2/2023</t>
  </si>
  <si>
    <t xml:space="preserve">17/2/2023 </t>
  </si>
  <si>
    <t xml:space="preserve"> 21/2/2023</t>
  </si>
  <si>
    <t xml:space="preserve"> 22/2/2023</t>
  </si>
  <si>
    <t xml:space="preserve">18/2/2023 </t>
  </si>
  <si>
    <t xml:space="preserve"> 25/2/2023</t>
  </si>
  <si>
    <t xml:space="preserve"> 24/2/2023</t>
  </si>
  <si>
    <t xml:space="preserve"> 20/2/2023</t>
  </si>
  <si>
    <t xml:space="preserve">19/2/2023 </t>
  </si>
  <si>
    <t xml:space="preserve">20/2/2023 </t>
  </si>
  <si>
    <t xml:space="preserve"> 23/2/2023</t>
  </si>
  <si>
    <t xml:space="preserve">21/2/2023 </t>
  </si>
  <si>
    <t xml:space="preserve"> 28/2/2023</t>
  </si>
  <si>
    <t xml:space="preserve">22/2/2023 </t>
  </si>
  <si>
    <t xml:space="preserve">23/2/2023 </t>
  </si>
  <si>
    <t xml:space="preserve"> 1/3/2023</t>
  </si>
  <si>
    <t xml:space="preserve">26/2/2023 </t>
  </si>
  <si>
    <t xml:space="preserve">27/2/2023 </t>
  </si>
  <si>
    <t xml:space="preserve"> 5/3/2023</t>
  </si>
  <si>
    <t xml:space="preserve"> 4/3/2023</t>
  </si>
  <si>
    <t xml:space="preserve">28/2/2023 </t>
  </si>
  <si>
    <t xml:space="preserve"> 6/3/2023</t>
  </si>
  <si>
    <t xml:space="preserve"> 7/3/2023</t>
  </si>
  <si>
    <t xml:space="preserve"> 10/3/2023</t>
  </si>
  <si>
    <t xml:space="preserve"> 8/3/2023</t>
  </si>
  <si>
    <t xml:space="preserve"> 12/3/2023</t>
  </si>
  <si>
    <t xml:space="preserve"> 9/3/2023</t>
  </si>
  <si>
    <t xml:space="preserve"> 14/3/2023</t>
  </si>
  <si>
    <t xml:space="preserve"> 11/3/2023</t>
  </si>
  <si>
    <t xml:space="preserve"> 15/3/2023</t>
  </si>
  <si>
    <t xml:space="preserve"> 13/3/2023</t>
  </si>
  <si>
    <t xml:space="preserve"> 16/3/2023</t>
  </si>
  <si>
    <t xml:space="preserve"> 17/3/2023</t>
  </si>
  <si>
    <t xml:space="preserve">14/3/2023 </t>
  </si>
  <si>
    <t xml:space="preserve"> 18/3/2023</t>
  </si>
  <si>
    <t xml:space="preserve">15/3/2023 </t>
  </si>
  <si>
    <t xml:space="preserve"> 19/3/2023</t>
  </si>
  <si>
    <t xml:space="preserve">16/3/2023 </t>
  </si>
  <si>
    <t xml:space="preserve"> 22/3/2023</t>
  </si>
  <si>
    <t xml:space="preserve">17/3/2023 </t>
  </si>
  <si>
    <t xml:space="preserve"> 23/3/2023</t>
  </si>
  <si>
    <t xml:space="preserve"> 21/3/2023</t>
  </si>
  <si>
    <t xml:space="preserve">18/3/2023 </t>
  </si>
  <si>
    <t xml:space="preserve"> 25/3/2023</t>
  </si>
  <si>
    <t xml:space="preserve">20/3/2023 </t>
  </si>
  <si>
    <t xml:space="preserve"> 26/3/2023</t>
  </si>
  <si>
    <t xml:space="preserve">21/3/2023 </t>
  </si>
  <si>
    <t xml:space="preserve">22/3/2023 </t>
  </si>
  <si>
    <t xml:space="preserve"> 28/3/2023</t>
  </si>
  <si>
    <t xml:space="preserve">23/3/2023 </t>
  </si>
  <si>
    <t xml:space="preserve">24/3/2023 </t>
  </si>
  <si>
    <t xml:space="preserve"> 29/3/2023</t>
  </si>
  <si>
    <t xml:space="preserve">26/3/2023 </t>
  </si>
  <si>
    <t xml:space="preserve">27/3/2023 </t>
  </si>
  <si>
    <t xml:space="preserve"> 2/4/2023</t>
  </si>
  <si>
    <t xml:space="preserve"> 3/4/2023</t>
  </si>
  <si>
    <t xml:space="preserve"> 1/4/2023</t>
  </si>
  <si>
    <t xml:space="preserve">29/3/2023 </t>
  </si>
  <si>
    <t xml:space="preserve"> 31/3/2023</t>
  </si>
  <si>
    <t xml:space="preserve">30/3/2023 </t>
  </si>
  <si>
    <t xml:space="preserve"> 5/4/2023</t>
  </si>
  <si>
    <t xml:space="preserve">31/3/2023 </t>
  </si>
  <si>
    <t xml:space="preserve"> 6/4/2023</t>
  </si>
  <si>
    <t xml:space="preserve"> 8/4/2023</t>
  </si>
  <si>
    <t xml:space="preserve"> 7/4/2023</t>
  </si>
  <si>
    <t xml:space="preserve"> 9/4/2023</t>
  </si>
  <si>
    <t xml:space="preserve"> 10/4/2023</t>
  </si>
  <si>
    <t xml:space="preserve"> 15/4/2023</t>
  </si>
  <si>
    <t xml:space="preserve"> 11/4/2023</t>
  </si>
  <si>
    <t xml:space="preserve"> 14/4/2023</t>
  </si>
  <si>
    <t xml:space="preserve"> 16/4/2023</t>
  </si>
  <si>
    <t xml:space="preserve"> 13/4/2023</t>
  </si>
  <si>
    <t xml:space="preserve">13/4/2023 </t>
  </si>
  <si>
    <t xml:space="preserve"> 17/4/2023</t>
  </si>
  <si>
    <t xml:space="preserve">14/4/2023 </t>
  </si>
  <si>
    <t xml:space="preserve"> 19/4/2023</t>
  </si>
  <si>
    <t xml:space="preserve">16/4/2023 </t>
  </si>
  <si>
    <t xml:space="preserve"> 20/4/2023</t>
  </si>
  <si>
    <t xml:space="preserve"> 21/4/2023</t>
  </si>
  <si>
    <t xml:space="preserve">17/4/2023 </t>
  </si>
  <si>
    <t xml:space="preserve"> 24/4/2023</t>
  </si>
  <si>
    <t xml:space="preserve">18/4/2023 </t>
  </si>
  <si>
    <t xml:space="preserve"> 23/4/2023</t>
  </si>
  <si>
    <t xml:space="preserve">19/4/2023 </t>
  </si>
  <si>
    <t xml:space="preserve">20/4/2023 </t>
  </si>
  <si>
    <t xml:space="preserve"> 25/4/2023</t>
  </si>
  <si>
    <t xml:space="preserve">22/4/2023 </t>
  </si>
  <si>
    <t xml:space="preserve"> 29/4/2023</t>
  </si>
  <si>
    <t xml:space="preserve"> 28/4/2023</t>
  </si>
  <si>
    <t xml:space="preserve"> 27/4/2023</t>
  </si>
  <si>
    <t xml:space="preserve">23/4/2023 </t>
  </si>
  <si>
    <t xml:space="preserve">24/4/2023 </t>
  </si>
  <si>
    <t xml:space="preserve"> 26/4/2023</t>
  </si>
  <si>
    <t xml:space="preserve">25/4/2023 </t>
  </si>
  <si>
    <t xml:space="preserve"> 1/5/2023</t>
  </si>
  <si>
    <t xml:space="preserve">26/4/2023 </t>
  </si>
  <si>
    <t xml:space="preserve"> 2/5/2023</t>
  </si>
  <si>
    <t xml:space="preserve">27/4/2023 </t>
  </si>
  <si>
    <t xml:space="preserve">28/4/2023 </t>
  </si>
  <si>
    <t xml:space="preserve"> 5/5/2023</t>
  </si>
  <si>
    <t xml:space="preserve"> 30/4/2023</t>
  </si>
  <si>
    <t xml:space="preserve">30/4/2023 </t>
  </si>
  <si>
    <t xml:space="preserve"> 3/5/2023</t>
  </si>
  <si>
    <t xml:space="preserve"> 8/5/2023</t>
  </si>
  <si>
    <t xml:space="preserve"> 6/5/2023</t>
  </si>
  <si>
    <t xml:space="preserve"> 10/5/2023</t>
  </si>
  <si>
    <t xml:space="preserve"> 13/5/2023</t>
  </si>
  <si>
    <t xml:space="preserve"> 14/5/2023</t>
  </si>
  <si>
    <t xml:space="preserve"> 15/5/2023</t>
  </si>
  <si>
    <t xml:space="preserve"> 17/5/2023</t>
  </si>
  <si>
    <t xml:space="preserve"> 16/5/2023</t>
  </si>
  <si>
    <t xml:space="preserve"> 19/5/2023</t>
  </si>
  <si>
    <t xml:space="preserve">13/5/2023 </t>
  </si>
  <si>
    <t xml:space="preserve"> 20/5/2023</t>
  </si>
  <si>
    <t xml:space="preserve">14/5/2023 </t>
  </si>
  <si>
    <t xml:space="preserve"> 18/5/2023</t>
  </si>
  <si>
    <t xml:space="preserve">15/5/2023 </t>
  </si>
  <si>
    <t xml:space="preserve">16/5/2023 </t>
  </si>
  <si>
    <t xml:space="preserve">17/5/2023 </t>
  </si>
  <si>
    <t xml:space="preserve"> 23/5/2023</t>
  </si>
  <si>
    <t xml:space="preserve">20/5/2023 </t>
  </si>
  <si>
    <t xml:space="preserve"> 24/5/2023</t>
  </si>
  <si>
    <t xml:space="preserve">21/5/2023 </t>
  </si>
  <si>
    <t xml:space="preserve"> 28/5/2023</t>
  </si>
  <si>
    <t xml:space="preserve">23/5/2023 </t>
  </si>
  <si>
    <t xml:space="preserve"> 25/5/2023</t>
  </si>
  <si>
    <t xml:space="preserve"> 26/5/2023</t>
  </si>
  <si>
    <t xml:space="preserve"> 30/5/2023</t>
  </si>
  <si>
    <t xml:space="preserve">24/5/2023 </t>
  </si>
  <si>
    <t xml:space="preserve">27/5/2023 </t>
  </si>
  <si>
    <t xml:space="preserve"> 2/6/2023</t>
  </si>
  <si>
    <t xml:space="preserve">29/5/2023 </t>
  </si>
  <si>
    <t xml:space="preserve"> 4/6/2023</t>
  </si>
  <si>
    <t xml:space="preserve"> 5/6/2023</t>
  </si>
  <si>
    <t xml:space="preserve"> 31/5/2023</t>
  </si>
  <si>
    <t xml:space="preserve">30/5/2023 </t>
  </si>
  <si>
    <t xml:space="preserve"> 3/6/2023</t>
  </si>
  <si>
    <t xml:space="preserve">31/5/2023 </t>
  </si>
  <si>
    <t xml:space="preserve"> 8/6/2023</t>
  </si>
  <si>
    <t xml:space="preserve"> 7/6/2023</t>
  </si>
  <si>
    <t xml:space="preserve"> 9/6/2023</t>
  </si>
  <si>
    <t xml:space="preserve"> 10/6/2023</t>
  </si>
  <si>
    <t xml:space="preserve"> 12/6/2023</t>
  </si>
  <si>
    <t xml:space="preserve"> 14/6/2023</t>
  </si>
  <si>
    <t xml:space="preserve">13/6/2023 </t>
  </si>
  <si>
    <t xml:space="preserve"> 17/6/2023</t>
  </si>
  <si>
    <t xml:space="preserve"> 18/6/2023</t>
  </si>
  <si>
    <t xml:space="preserve">15/6/2023 </t>
  </si>
  <si>
    <t xml:space="preserve">16/6/2023 </t>
  </si>
  <si>
    <t xml:space="preserve"> 23/6/2023</t>
  </si>
  <si>
    <t xml:space="preserve"> 22/6/2023</t>
  </si>
  <si>
    <t xml:space="preserve">18/6/2023 </t>
  </si>
  <si>
    <t xml:space="preserve"> 25/6/2023</t>
  </si>
  <si>
    <t xml:space="preserve"> 21/6/2023</t>
  </si>
  <si>
    <t xml:space="preserve">20/6/2023 </t>
  </si>
  <si>
    <t xml:space="preserve"> 24/6/2023</t>
  </si>
  <si>
    <t xml:space="preserve">21/6/2023 </t>
  </si>
  <si>
    <t xml:space="preserve">23/6/2023 </t>
  </si>
  <si>
    <t xml:space="preserve"> 30/6/2023</t>
  </si>
  <si>
    <t xml:space="preserve">24/6/2023 </t>
  </si>
  <si>
    <t xml:space="preserve"> 28/6/2023</t>
  </si>
  <si>
    <t xml:space="preserve">25/6/2023 </t>
  </si>
  <si>
    <t xml:space="preserve"> 29/6/2023</t>
  </si>
  <si>
    <t xml:space="preserve">26/6/2023 </t>
  </si>
  <si>
    <t xml:space="preserve">27/6/2023 </t>
  </si>
  <si>
    <t xml:space="preserve"> 3/7/2023</t>
  </si>
  <si>
    <t xml:space="preserve"> 4/7/2023</t>
  </si>
  <si>
    <t xml:space="preserve">28/6/2023 </t>
  </si>
  <si>
    <t xml:space="preserve"> 1/7/2023</t>
  </si>
  <si>
    <t xml:space="preserve">29/6/2023 </t>
  </si>
  <si>
    <t xml:space="preserve">30/6/2023 </t>
  </si>
  <si>
    <t xml:space="preserve"> 2/7/2023</t>
  </si>
  <si>
    <t xml:space="preserve"> 6/7/2023</t>
  </si>
  <si>
    <t xml:space="preserve"> 12/7/2023</t>
  </si>
  <si>
    <t xml:space="preserve"> 11/7/2023</t>
  </si>
  <si>
    <t xml:space="preserve"> 14/7/2023</t>
  </si>
  <si>
    <t xml:space="preserve"> 17/7/2023</t>
  </si>
  <si>
    <t xml:space="preserve"> 15/7/2023</t>
  </si>
  <si>
    <t xml:space="preserve">13/7/2023 </t>
  </si>
  <si>
    <t xml:space="preserve"> 19/7/2023</t>
  </si>
  <si>
    <t xml:space="preserve">14/7/2023 </t>
  </si>
  <si>
    <t xml:space="preserve"> 20/7/2023</t>
  </si>
  <si>
    <t xml:space="preserve"> 21/7/2023</t>
  </si>
  <si>
    <t xml:space="preserve">15/7/2023 </t>
  </si>
  <si>
    <t xml:space="preserve">16/7/2023 </t>
  </si>
  <si>
    <t xml:space="preserve"> 18/7/2023</t>
  </si>
  <si>
    <t xml:space="preserve">17/7/2023 </t>
  </si>
  <si>
    <t xml:space="preserve"> 22/7/2023</t>
  </si>
  <si>
    <t xml:space="preserve">18/7/2023 </t>
  </si>
  <si>
    <t xml:space="preserve">19/7/2023 </t>
  </si>
  <si>
    <t xml:space="preserve">20/7/2023 </t>
  </si>
  <si>
    <t xml:space="preserve"> 23/7/2023</t>
  </si>
  <si>
    <t xml:space="preserve"> 24/7/2023</t>
  </si>
  <si>
    <t xml:space="preserve">21/7/2023 </t>
  </si>
  <si>
    <t xml:space="preserve">22/7/2023 </t>
  </si>
  <si>
    <t xml:space="preserve">23/7/2023 </t>
  </si>
  <si>
    <t xml:space="preserve"> 27/7/2023</t>
  </si>
  <si>
    <t xml:space="preserve"> 25/7/2023</t>
  </si>
  <si>
    <t xml:space="preserve">24/7/2023 </t>
  </si>
  <si>
    <t xml:space="preserve"> 31/7/2023</t>
  </si>
  <si>
    <t xml:space="preserve">25/7/2023 </t>
  </si>
  <si>
    <t xml:space="preserve"> 29/7/2023</t>
  </si>
  <si>
    <t xml:space="preserve">26/7/2023 </t>
  </si>
  <si>
    <t xml:space="preserve"> 30/7/2023</t>
  </si>
  <si>
    <t xml:space="preserve">27/7/2023 </t>
  </si>
  <si>
    <t xml:space="preserve"> 2/8/2023</t>
  </si>
  <si>
    <t xml:space="preserve">28/7/2023 </t>
  </si>
  <si>
    <t xml:space="preserve"> 1/8/2023</t>
  </si>
  <si>
    <t xml:space="preserve">29/7/2023 </t>
  </si>
  <si>
    <t xml:space="preserve"> 3/8/2023</t>
  </si>
  <si>
    <t xml:space="preserve">30/7/2023 </t>
  </si>
  <si>
    <t xml:space="preserve"> 6/8/2023</t>
  </si>
  <si>
    <t xml:space="preserve">31/7/2023 </t>
  </si>
  <si>
    <t xml:space="preserve"> 5/8/2023</t>
  </si>
  <si>
    <t xml:space="preserve"> 7/8/2023</t>
  </si>
  <si>
    <t xml:space="preserve"> 10/8/2023</t>
  </si>
  <si>
    <t xml:space="preserve"> 12/8/2023</t>
  </si>
  <si>
    <t xml:space="preserve"> 11/8/2023</t>
  </si>
  <si>
    <t xml:space="preserve"> 9/8/2023</t>
  </si>
  <si>
    <t xml:space="preserve"> 15/8/2023</t>
  </si>
  <si>
    <t xml:space="preserve"> 16/8/2023</t>
  </si>
  <si>
    <t xml:space="preserve"> 13/8/2023</t>
  </si>
  <si>
    <t xml:space="preserve"> 19/8/2023</t>
  </si>
  <si>
    <t xml:space="preserve"> 14/8/2023</t>
  </si>
  <si>
    <t xml:space="preserve"> 17/8/2023</t>
  </si>
  <si>
    <t xml:space="preserve">13/8/2023 </t>
  </si>
  <si>
    <t xml:space="preserve">15/8/2023 </t>
  </si>
  <si>
    <t xml:space="preserve"> 20/8/2023</t>
  </si>
  <si>
    <t xml:space="preserve">17/8/2023 </t>
  </si>
  <si>
    <t xml:space="preserve"> 22/8/2023</t>
  </si>
  <si>
    <t xml:space="preserve">18/8/2023 </t>
  </si>
  <si>
    <t xml:space="preserve">19/8/2023 </t>
  </si>
  <si>
    <t xml:space="preserve">20/8/2023 </t>
  </si>
  <si>
    <t xml:space="preserve"> 23/8/2023</t>
  </si>
  <si>
    <t xml:space="preserve">21/8/2023 </t>
  </si>
  <si>
    <t xml:space="preserve"> 27/8/2023</t>
  </si>
  <si>
    <t xml:space="preserve"> 26/8/2023</t>
  </si>
  <si>
    <t xml:space="preserve">23/8/2023 </t>
  </si>
  <si>
    <t xml:space="preserve"> 25/8/2023</t>
  </si>
  <si>
    <t xml:space="preserve">26/8/2023 </t>
  </si>
  <si>
    <t xml:space="preserve"> 1/9/2023</t>
  </si>
  <si>
    <t xml:space="preserve"> 28/8/2023</t>
  </si>
  <si>
    <t xml:space="preserve"> 2/9/2023</t>
  </si>
  <si>
    <t xml:space="preserve">27/8/2023 </t>
  </si>
  <si>
    <t xml:space="preserve"> 31/8/2023</t>
  </si>
  <si>
    <t xml:space="preserve">29/8/2023 </t>
  </si>
  <si>
    <t xml:space="preserve"> 5/9/2023</t>
  </si>
  <si>
    <t xml:space="preserve"> 7/9/2023</t>
  </si>
  <si>
    <t xml:space="preserve"> 8/9/2023</t>
  </si>
  <si>
    <t xml:space="preserve"> 9/9/2023</t>
  </si>
  <si>
    <t xml:space="preserve"> 4/9/2023</t>
  </si>
  <si>
    <t xml:space="preserve"> 10/9/2023</t>
  </si>
  <si>
    <t xml:space="preserve"> 14/9/2023</t>
  </si>
  <si>
    <t xml:space="preserve"> 13/9/2023</t>
  </si>
  <si>
    <t xml:space="preserve"> 15/9/2023</t>
  </si>
  <si>
    <t xml:space="preserve"> 17/9/2023</t>
  </si>
  <si>
    <t xml:space="preserve"> 16/9/2023</t>
  </si>
  <si>
    <t xml:space="preserve">13/9/2023 </t>
  </si>
  <si>
    <t xml:space="preserve">15/9/2023 </t>
  </si>
  <si>
    <t xml:space="preserve"> 18/9/2023</t>
  </si>
  <si>
    <t xml:space="preserve"> 20/9/2023</t>
  </si>
  <si>
    <t xml:space="preserve"> 22/9/2023</t>
  </si>
  <si>
    <t xml:space="preserve">16/9/2023 </t>
  </si>
  <si>
    <t xml:space="preserve"> 21/9/2023</t>
  </si>
  <si>
    <t xml:space="preserve"> 23/9/2023</t>
  </si>
  <si>
    <t xml:space="preserve">17/9/2023 </t>
  </si>
  <si>
    <t xml:space="preserve">18/9/2023 </t>
  </si>
  <si>
    <t xml:space="preserve">19/9/2023 </t>
  </si>
  <si>
    <t xml:space="preserve">20/9/2023 </t>
  </si>
  <si>
    <t xml:space="preserve"> 25/9/2023</t>
  </si>
  <si>
    <t xml:space="preserve"> 24/9/2023</t>
  </si>
  <si>
    <t xml:space="preserve">24/9/2023 </t>
  </si>
  <si>
    <t xml:space="preserve"> 27/9/2023</t>
  </si>
  <si>
    <t xml:space="preserve">25/9/2023 </t>
  </si>
  <si>
    <t xml:space="preserve"> 1/10/2023</t>
  </si>
  <si>
    <t xml:space="preserve"> 28/9/2023</t>
  </si>
  <si>
    <t xml:space="preserve">26/9/2023 </t>
  </si>
  <si>
    <t xml:space="preserve"> 3/10/2023</t>
  </si>
  <si>
    <t xml:space="preserve"> 30/9/2023</t>
  </si>
  <si>
    <t xml:space="preserve"> 2/10/2023</t>
  </si>
  <si>
    <t xml:space="preserve">27/9/2023 </t>
  </si>
  <si>
    <t xml:space="preserve"> 29/9/2023</t>
  </si>
  <si>
    <t xml:space="preserve">28/9/2023 </t>
  </si>
  <si>
    <t xml:space="preserve"> 5/10/2023</t>
  </si>
  <si>
    <t xml:space="preserve">29/9/2023 </t>
  </si>
  <si>
    <t xml:space="preserve">30/9/2023 </t>
  </si>
  <si>
    <t xml:space="preserve"> 6/10/2023</t>
  </si>
  <si>
    <t xml:space="preserve"> 8/10/2023</t>
  </si>
  <si>
    <t xml:space="preserve"> 12/10/2023</t>
  </si>
  <si>
    <t xml:space="preserve"> 13/10/2023</t>
  </si>
  <si>
    <t xml:space="preserve"> 14/10/2023</t>
  </si>
  <si>
    <t xml:space="preserve">13/10/2023 </t>
  </si>
  <si>
    <t xml:space="preserve"> 16/10/2023</t>
  </si>
  <si>
    <t xml:space="preserve">14/10/2023 </t>
  </si>
  <si>
    <t xml:space="preserve">15/10/2023 </t>
  </si>
  <si>
    <t xml:space="preserve"> 20/10/2023</t>
  </si>
  <si>
    <t xml:space="preserve">16/10/2023 </t>
  </si>
  <si>
    <t xml:space="preserve"> 21/10/2023</t>
  </si>
  <si>
    <t xml:space="preserve">17/10/2023 </t>
  </si>
  <si>
    <t xml:space="preserve">18/10/2023 </t>
  </si>
  <si>
    <t xml:space="preserve"> 25/10/2023</t>
  </si>
  <si>
    <t xml:space="preserve">19/10/2023 </t>
  </si>
  <si>
    <t xml:space="preserve"> 22/10/2023</t>
  </si>
  <si>
    <t xml:space="preserve">20/10/2023 </t>
  </si>
  <si>
    <t xml:space="preserve"> 26/10/2023</t>
  </si>
  <si>
    <t xml:space="preserve"> 23/10/2023</t>
  </si>
  <si>
    <t xml:space="preserve"> 24/10/2023</t>
  </si>
  <si>
    <t xml:space="preserve">21/10/2023 </t>
  </si>
  <si>
    <t xml:space="preserve"> 28/10/2023</t>
  </si>
  <si>
    <t xml:space="preserve">25/10/2023 </t>
  </si>
  <si>
    <t xml:space="preserve"> 31/10/2023</t>
  </si>
  <si>
    <t xml:space="preserve"> 30/10/2023</t>
  </si>
  <si>
    <t xml:space="preserve">26/10/2023 </t>
  </si>
  <si>
    <t xml:space="preserve"> 1/11/2023</t>
  </si>
  <si>
    <t xml:space="preserve"> 29/10/2023</t>
  </si>
  <si>
    <t xml:space="preserve">27/10/2023 </t>
  </si>
  <si>
    <t xml:space="preserve">28/10/2023 </t>
  </si>
  <si>
    <t xml:space="preserve"> 2/11/2023</t>
  </si>
  <si>
    <t xml:space="preserve"> 3/11/2023</t>
  </si>
  <si>
    <t xml:space="preserve">30/10/2023 </t>
  </si>
  <si>
    <t xml:space="preserve"> 5/11/2023</t>
  </si>
  <si>
    <t xml:space="preserve"> 7/11/2023</t>
  </si>
  <si>
    <t xml:space="preserve"> 11/11/2023</t>
  </si>
  <si>
    <t xml:space="preserve"> 10/11/2023</t>
  </si>
  <si>
    <t xml:space="preserve"> 8/11/2023</t>
  </si>
  <si>
    <t xml:space="preserve"> 12/11/2023</t>
  </si>
  <si>
    <t xml:space="preserve"> 13/11/2023</t>
  </si>
  <si>
    <t xml:space="preserve"> 16/11/2023</t>
  </si>
  <si>
    <t xml:space="preserve"> 17/11/2023</t>
  </si>
  <si>
    <t xml:space="preserve"> 14/11/2023</t>
  </si>
  <si>
    <t xml:space="preserve"> 18/11/2023</t>
  </si>
  <si>
    <t xml:space="preserve"> 19/11/2023</t>
  </si>
  <si>
    <t xml:space="preserve"> 15/11/2023</t>
  </si>
  <si>
    <t xml:space="preserve">13/11/2023 </t>
  </si>
  <si>
    <t xml:space="preserve">14/11/2023 </t>
  </si>
  <si>
    <t xml:space="preserve">15/11/2023 </t>
  </si>
  <si>
    <t xml:space="preserve">16/11/2023 </t>
  </si>
  <si>
    <t xml:space="preserve"> 22/11/2023</t>
  </si>
  <si>
    <t xml:space="preserve">17/11/2023 </t>
  </si>
  <si>
    <t xml:space="preserve"> 20/11/2023</t>
  </si>
  <si>
    <t xml:space="preserve">18/11/2023 </t>
  </si>
  <si>
    <t xml:space="preserve"> 23/11/2023</t>
  </si>
  <si>
    <t xml:space="preserve"> 21/11/2023</t>
  </si>
  <si>
    <t xml:space="preserve">19/11/2023 </t>
  </si>
  <si>
    <t xml:space="preserve"> 26/11/2023</t>
  </si>
  <si>
    <t xml:space="preserve"> 25/11/2023</t>
  </si>
  <si>
    <t xml:space="preserve">20/11/2023 </t>
  </si>
  <si>
    <t xml:space="preserve"> 27/11/2023</t>
  </si>
  <si>
    <t xml:space="preserve">21/11/2023 </t>
  </si>
  <si>
    <t xml:space="preserve">22/11/2023 </t>
  </si>
  <si>
    <t xml:space="preserve">24/11/2023 </t>
  </si>
  <si>
    <t xml:space="preserve"> 29/11/2023</t>
  </si>
  <si>
    <t xml:space="preserve">25/11/2023 </t>
  </si>
  <si>
    <t xml:space="preserve"> 28/11/2023</t>
  </si>
  <si>
    <t xml:space="preserve"> 30/11/2023</t>
  </si>
  <si>
    <t xml:space="preserve">27/11/2023 </t>
  </si>
  <si>
    <t xml:space="preserve"> 3/12/2023</t>
  </si>
  <si>
    <t xml:space="preserve">30/11/2023 </t>
  </si>
  <si>
    <t xml:space="preserve"> 7/12/2023</t>
  </si>
  <si>
    <t xml:space="preserve"> 5/12/2023</t>
  </si>
  <si>
    <t xml:space="preserve"> 4/12/2023</t>
  </si>
  <si>
    <t xml:space="preserve"> 6/12/2023</t>
  </si>
  <si>
    <t xml:space="preserve"> 10/12/2023</t>
  </si>
  <si>
    <t xml:space="preserve"> 8/12/2023</t>
  </si>
  <si>
    <t xml:space="preserve"> 11/12/2023</t>
  </si>
  <si>
    <t xml:space="preserve"> 9/12/2023</t>
  </si>
  <si>
    <t xml:space="preserve">14/12/2023 </t>
  </si>
  <si>
    <t xml:space="preserve"> 21/12/2023</t>
  </si>
  <si>
    <t xml:space="preserve">16/12/2023 </t>
  </si>
  <si>
    <t xml:space="preserve"> 23/12/2023</t>
  </si>
  <si>
    <t xml:space="preserve"> 22/12/2023</t>
  </si>
  <si>
    <t xml:space="preserve"> 19/12/2023</t>
  </si>
  <si>
    <t xml:space="preserve"> 20/12/2023</t>
  </si>
  <si>
    <t xml:space="preserve"> 18/12/2023</t>
  </si>
  <si>
    <t xml:space="preserve">18/12/2023 </t>
  </si>
  <si>
    <t xml:space="preserve"> 25/12/2023</t>
  </si>
  <si>
    <t xml:space="preserve">19/12/2023 </t>
  </si>
  <si>
    <t xml:space="preserve"> 24/12/2023</t>
  </si>
  <si>
    <t xml:space="preserve"> 26/12/2023</t>
  </si>
  <si>
    <t xml:space="preserve">20/12/2023 </t>
  </si>
  <si>
    <t xml:space="preserve"> 27/12/2023</t>
  </si>
  <si>
    <t xml:space="preserve">21/12/2023 </t>
  </si>
  <si>
    <t xml:space="preserve">22/12/2023 </t>
  </si>
  <si>
    <t xml:space="preserve">24/12/2023 </t>
  </si>
  <si>
    <t xml:space="preserve"> 29/12/2023</t>
  </si>
  <si>
    <t xml:space="preserve">27/12/2023 </t>
  </si>
  <si>
    <t xml:space="preserve"> Service ID</t>
  </si>
  <si>
    <t>(blank)</t>
  </si>
  <si>
    <t>Grand Total</t>
  </si>
  <si>
    <t>Count of Discount</t>
  </si>
  <si>
    <t>Sum of Total Value</t>
  </si>
  <si>
    <t>Other</t>
  </si>
  <si>
    <t>other</t>
  </si>
  <si>
    <t>Count of Total Value</t>
  </si>
  <si>
    <t xml:space="preserve">Products </t>
  </si>
  <si>
    <t>Count of Product Category</t>
  </si>
  <si>
    <t>TOTAL DISCOUNT</t>
  </si>
  <si>
    <t>ORDER DATE</t>
  </si>
  <si>
    <t>15/12/2023</t>
  </si>
  <si>
    <t>AVE REVENUE</t>
  </si>
  <si>
    <t>TOT SALES  QTY</t>
  </si>
  <si>
    <t>TOT REVENUE</t>
  </si>
  <si>
    <t>CALCULATOR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</si>
</sst>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8" formatCode="&quot;$&quot;#,##0.00_);[Red]\(&quot;$&quot;#,##0.00\)"/>
    <numFmt numFmtId="164" formatCode="&quot;$&quot;#,##0.00"/>
    <numFmt numFmtId="165" formatCode="&quot;$&quot;#,##0"/>
  </numFmts>
  <fonts count="7" x14ac:knownFonts="1">
    <font>
      <sz val="11"/>
      <color theme="1"/>
      <name val="Calibri"/>
      <family val="2"/>
      <scheme val="minor"/>
    </font>
    <font>
      <sz val="11"/>
      <color indexed="8"/>
      <name val="Calibri"/>
      <family val="2"/>
    </font>
    <font>
      <b/>
      <sz val="12"/>
      <color theme="1"/>
      <name val="Calibri"/>
      <family val="2"/>
      <scheme val="minor"/>
    </font>
    <font>
      <b/>
      <sz val="14"/>
      <color theme="1"/>
      <name val="Calibri"/>
      <family val="2"/>
      <scheme val="minor"/>
    </font>
    <font>
      <sz val="12"/>
      <color theme="1"/>
      <name val="Calibri"/>
      <family val="2"/>
      <scheme val="minor"/>
    </font>
    <font>
      <b/>
      <sz val="20"/>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20">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56">
    <xf numFmtId="0" fontId="0" fillId="0" borderId="0" xfId="0"/>
    <xf numFmtId="0" fontId="0" fillId="0" borderId="0" xfId="0"/>
    <xf numFmtId="0" fontId="1" fillId="0" borderId="0" xfId="0" applyFont="1"/>
    <xf numFmtId="14" fontId="0" fillId="0" borderId="0" xfId="0" applyNumberFormat="1" applyAlignment="1">
      <alignment horizontal="right"/>
    </xf>
    <xf numFmtId="14" fontId="1" fillId="0" borderId="0" xfId="0" applyNumberFormat="1" applyFont="1" applyAlignment="1">
      <alignment horizontal="right"/>
    </xf>
    <xf numFmtId="2" fontId="1" fillId="0" borderId="0" xfId="0" applyNumberFormat="1" applyFont="1"/>
    <xf numFmtId="2" fontId="0" fillId="0" borderId="0" xfId="0" applyNumberFormat="1"/>
    <xf numFmtId="1" fontId="1" fillId="0" borderId="0" xfId="0" applyNumberFormat="1" applyFont="1"/>
    <xf numFmtId="1" fontId="0" fillId="0" borderId="0" xfId="0" applyNumberFormat="1"/>
    <xf numFmtId="0" fontId="0" fillId="0" borderId="0" xfId="0" applyNumberFormat="1"/>
    <xf numFmtId="164" fontId="1" fillId="0" borderId="0" xfId="0" applyNumberFormat="1" applyFont="1"/>
    <xf numFmtId="164" fontId="0" fillId="0" borderId="0" xfId="0" applyNumberFormat="1"/>
    <xf numFmtId="165" fontId="1" fillId="0" borderId="0" xfId="0" applyNumberFormat="1" applyFont="1"/>
    <xf numFmtId="165"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xf>
    <xf numFmtId="0" fontId="2" fillId="0" borderId="0" xfId="0" applyFont="1" applyAlignment="1">
      <alignment horizontal="center"/>
    </xf>
    <xf numFmtId="0" fontId="0" fillId="0" borderId="0" xfId="0" applyNumberFormat="1" applyBorder="1" applyAlignment="1"/>
    <xf numFmtId="0" fontId="3" fillId="0" borderId="0" xfId="0" applyFont="1" applyBorder="1" applyAlignment="1">
      <alignment wrapText="1"/>
    </xf>
    <xf numFmtId="0" fontId="2" fillId="0" borderId="0" xfId="0" applyFont="1" applyBorder="1" applyAlignment="1">
      <alignment wrapText="1"/>
    </xf>
    <xf numFmtId="14" fontId="0" fillId="0" borderId="0" xfId="0" applyNumberFormat="1" applyAlignment="1">
      <alignment horizontal="left"/>
    </xf>
    <xf numFmtId="0" fontId="0" fillId="0" borderId="0" xfId="0" applyAlignment="1">
      <alignment vertical="center"/>
    </xf>
    <xf numFmtId="0" fontId="4" fillId="0" borderId="0" xfId="0" applyFont="1"/>
    <xf numFmtId="0" fontId="3" fillId="0" borderId="0" xfId="0" applyNumberFormat="1" applyFont="1" applyBorder="1" applyAlignment="1">
      <alignment wrapText="1"/>
    </xf>
    <xf numFmtId="0" fontId="3" fillId="3" borderId="14" xfId="0" applyFont="1" applyFill="1" applyBorder="1" applyAlignment="1">
      <alignment horizontal="center"/>
    </xf>
    <xf numFmtId="0" fontId="0" fillId="3" borderId="15" xfId="0" applyFill="1" applyBorder="1" applyAlignment="1">
      <alignment horizontal="center"/>
    </xf>
    <xf numFmtId="8" fontId="3" fillId="0" borderId="16" xfId="0" applyNumberFormat="1" applyFont="1" applyBorder="1" applyAlignment="1">
      <alignment horizontal="center"/>
    </xf>
    <xf numFmtId="0" fontId="3" fillId="0" borderId="17" xfId="0" applyFont="1" applyBorder="1" applyAlignment="1">
      <alignment horizontal="center"/>
    </xf>
    <xf numFmtId="0" fontId="5" fillId="3" borderId="10" xfId="0" applyFont="1" applyFill="1" applyBorder="1" applyAlignment="1">
      <alignment horizontal="center"/>
    </xf>
    <xf numFmtId="0" fontId="6" fillId="3" borderId="18" xfId="0" applyFont="1" applyFill="1" applyBorder="1" applyAlignment="1">
      <alignment horizontal="center"/>
    </xf>
    <xf numFmtId="0" fontId="6" fillId="3" borderId="11" xfId="0" applyFont="1" applyFill="1" applyBorder="1" applyAlignment="1">
      <alignment horizontal="center"/>
    </xf>
    <xf numFmtId="0" fontId="6" fillId="3" borderId="12" xfId="0" applyFont="1" applyFill="1" applyBorder="1" applyAlignment="1">
      <alignment horizontal="center"/>
    </xf>
    <xf numFmtId="0" fontId="6" fillId="3" borderId="19" xfId="0" applyFont="1" applyFill="1" applyBorder="1" applyAlignment="1">
      <alignment horizontal="center"/>
    </xf>
    <xf numFmtId="0" fontId="6" fillId="3" borderId="13" xfId="0" applyFont="1" applyFill="1" applyBorder="1" applyAlignment="1">
      <alignment horizontal="center"/>
    </xf>
    <xf numFmtId="0" fontId="3" fillId="0" borderId="14" xfId="0" applyNumberFormat="1" applyFont="1" applyBorder="1" applyAlignment="1">
      <alignment horizontal="center"/>
    </xf>
    <xf numFmtId="0" fontId="3" fillId="0" borderId="15" xfId="0" applyNumberFormat="1" applyFont="1" applyBorder="1" applyAlignment="1">
      <alignment horizontal="center"/>
    </xf>
    <xf numFmtId="0" fontId="2" fillId="3" borderId="14" xfId="0" applyFont="1" applyFill="1" applyBorder="1" applyAlignment="1">
      <alignment horizontal="center" wrapText="1"/>
    </xf>
    <xf numFmtId="0" fontId="2" fillId="3" borderId="15" xfId="0" applyFont="1" applyFill="1" applyBorder="1" applyAlignment="1">
      <alignment horizontal="center" wrapText="1"/>
    </xf>
    <xf numFmtId="6" fontId="3" fillId="0" borderId="14" xfId="0" applyNumberFormat="1" applyFont="1" applyBorder="1" applyAlignment="1">
      <alignment horizontal="center" wrapText="1"/>
    </xf>
    <xf numFmtId="0" fontId="3" fillId="0" borderId="15" xfId="0" applyFont="1" applyBorder="1" applyAlignment="1">
      <alignment horizontal="center" wrapText="1"/>
    </xf>
    <xf numFmtId="0" fontId="3" fillId="3" borderId="16" xfId="0" applyFont="1" applyFill="1" applyBorder="1" applyAlignment="1">
      <alignment horizontal="center" wrapText="1"/>
    </xf>
    <xf numFmtId="0" fontId="2" fillId="3" borderId="17" xfId="0" applyFont="1" applyFill="1" applyBorder="1" applyAlignment="1">
      <alignment horizontal="center" wrapText="1"/>
    </xf>
    <xf numFmtId="6" fontId="3" fillId="2" borderId="14" xfId="0" applyNumberFormat="1" applyFont="1" applyFill="1" applyBorder="1" applyAlignment="1">
      <alignment horizontal="center" wrapText="1"/>
    </xf>
    <xf numFmtId="0" fontId="3" fillId="2" borderId="15" xfId="0" applyFont="1" applyFill="1" applyBorder="1" applyAlignment="1">
      <alignment horizontal="center" wrapText="1"/>
    </xf>
  </cellXfs>
  <cellStyles count="1">
    <cellStyle name="Normal" xfId="0" builtinId="0"/>
  </cellStyles>
  <dxfs count="0"/>
  <tableStyles count="0" defaultTableStyle="TableStyleMedium2" defaultPivotStyle="PivotStyleLight16"/>
  <colors>
    <mruColors>
      <color rgb="FF13CADD"/>
      <color rgb="FF1EB08D"/>
      <color rgb="FF35998D"/>
      <color rgb="FF1190BD"/>
      <color rgb="FF0033CC"/>
      <color rgb="FF63B165"/>
      <color rgb="FFD2AE8A"/>
      <color rgb="FF40A84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theme" Target="theme/theme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[xlx.xlsx]Sheet3!PivotTable2</c:name>
    <c:fmtId val="0"/>
  </c:pivotSource>
  <c:chart>
    <c:autoTitleDeleted val="1"/>
    <c:pivotFmts>
      <c:pivotFmt>
        <c:idx val="0"/>
        <c:marker>
          <c:symbol val="none"/>
        </c:marker>
      </c:pivotFmt>
      <c:pivotFmt>
        <c:idx val="1"/>
      </c:pivotFmt>
      <c:pivotFmt>
        <c:idx val="2"/>
      </c:pivotFmt>
      <c:pivotFmt>
        <c:idx val="3"/>
      </c:pivotFmt>
      <c:pivotFmt>
        <c:idx val="4"/>
      </c:pivotFmt>
      <c:pivotFmt>
        <c:idx val="5"/>
      </c:pivotFmt>
      <c:pivotFmt>
        <c:idx val="6"/>
      </c:pivotFmt>
      <c:pivotFmt>
        <c:idx val="7"/>
      </c:pivotFmt>
      <c:pivotFmt>
        <c:idx val="8"/>
      </c:pivotFmt>
    </c:pivotFmts>
    <c:plotArea>
      <c:layout/>
      <c:doughnutChart>
        <c:varyColors val="1"/>
        <c:ser>
          <c:idx val="0"/>
          <c:order val="0"/>
          <c:tx>
            <c:strRef>
              <c:f>Sheet3!$B$4</c:f>
              <c:strCache>
                <c:ptCount val="1"/>
                <c:pt idx="0">
                  <c:v>Total</c:v>
                </c:pt>
              </c:strCache>
            </c:strRef>
          </c:tx>
          <c:dPt>
            <c:idx val="0"/>
            <c:bubble3D val="0"/>
          </c:dPt>
          <c:dPt>
            <c:idx val="1"/>
            <c:bubble3D val="0"/>
          </c:dPt>
          <c:dPt>
            <c:idx val="3"/>
            <c:bubble3D val="0"/>
          </c:dPt>
          <c:dPt>
            <c:idx val="5"/>
            <c:bubble3D val="0"/>
          </c:dPt>
          <c:cat>
            <c:multiLvlStrRef>
              <c:f>Sheet3!$A$5:$A$19</c:f>
              <c:multiLvlStrCache>
                <c:ptCount val="9"/>
                <c:lvl>
                  <c:pt idx="0">
                    <c:v>CAS Calculator</c:v>
                  </c:pt>
                  <c:pt idx="1">
                    <c:v>Graphing Calculator</c:v>
                  </c:pt>
                  <c:pt idx="2">
                    <c:v>CAS Calculator</c:v>
                  </c:pt>
                  <c:pt idx="3">
                    <c:v>Graphing Calculator</c:v>
                  </c:pt>
                  <c:pt idx="4">
                    <c:v>CAS Calculator</c:v>
                  </c:pt>
                  <c:pt idx="5">
                    <c:v>Graphing Calculator</c:v>
                  </c:pt>
                  <c:pt idx="6">
                    <c:v>CAS Calculator</c:v>
                  </c:pt>
                  <c:pt idx="7">
                    <c:v>Graphing Calculator</c:v>
                  </c:pt>
                  <c:pt idx="8">
                    <c:v>(blank)</c:v>
                  </c:pt>
                </c:lvl>
                <c:lvl>
                  <c:pt idx="0">
                    <c:v>1</c:v>
                  </c:pt>
                  <c:pt idx="2">
                    <c:v>2</c:v>
                  </c:pt>
                  <c:pt idx="4">
                    <c:v>3</c:v>
                  </c:pt>
                  <c:pt idx="6">
                    <c:v>4</c:v>
                  </c:pt>
                  <c:pt idx="8">
                    <c:v>Other</c:v>
                  </c:pt>
                </c:lvl>
              </c:multiLvlStrCache>
            </c:multiLvlStrRef>
          </c:cat>
          <c:val>
            <c:numRef>
              <c:f>Sheet3!$B$5:$B$19</c:f>
              <c:numCache>
                <c:formatCode>General</c:formatCode>
                <c:ptCount val="9"/>
                <c:pt idx="0">
                  <c:v>47</c:v>
                </c:pt>
                <c:pt idx="1">
                  <c:v>715</c:v>
                </c:pt>
                <c:pt idx="2">
                  <c:v>15</c:v>
                </c:pt>
                <c:pt idx="3">
                  <c:v>195</c:v>
                </c:pt>
                <c:pt idx="4">
                  <c:v>10</c:v>
                </c:pt>
                <c:pt idx="5">
                  <c:v>78</c:v>
                </c:pt>
                <c:pt idx="6">
                  <c:v>3</c:v>
                </c:pt>
                <c:pt idx="7">
                  <c:v>20</c:v>
                </c:pt>
              </c:numCache>
            </c:numRef>
          </c:val>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5970905360967813"/>
          <c:y val="0.25254245608888215"/>
          <c:w val="0.31361105675446393"/>
          <c:h val="0.74745753751123456"/>
        </c:manualLayout>
      </c:layout>
      <c:overlay val="0"/>
    </c:legend>
    <c:plotVisOnly val="1"/>
    <c:dispBlanksAs val="gap"/>
    <c:showDLblsOverMax val="0"/>
  </c:chart>
  <c:spPr>
    <a:noFill/>
    <a:ln>
      <a:solidFill>
        <a:schemeClr val="tx1"/>
      </a:solid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[xlx.xlsx]Sheet4!PivotTable4</c:name>
    <c:fmtId val="0"/>
  </c:pivotSource>
  <c:chart>
    <c:title>
      <c:tx>
        <c:rich>
          <a:bodyPr/>
          <a:lstStyle/>
          <a:p>
            <a:pPr>
              <a:defRPr/>
            </a:pPr>
            <a:r>
              <a:rPr lang="en-US"/>
              <a:t>Count</a:t>
            </a:r>
            <a:r>
              <a:rPr lang="en-US" baseline="0"/>
              <a:t> of Discount</a:t>
            </a:r>
            <a:endParaRPr lang="en-US"/>
          </a:p>
        </c:rich>
      </c:tx>
      <c:layout/>
      <c:overlay val="0"/>
    </c:title>
    <c:autoTitleDeleted val="0"/>
    <c:pivotFmts>
      <c:pivotFmt>
        <c:idx val="0"/>
        <c:spPr>
          <a:solidFill>
            <a:schemeClr val="accent1"/>
          </a:solidFill>
        </c:spPr>
        <c:marker>
          <c:symbol val="none"/>
        </c:marker>
      </c:pivotFmt>
    </c:pivotFmts>
    <c:plotArea>
      <c:layout/>
      <c:barChart>
        <c:barDir val="col"/>
        <c:grouping val="clustered"/>
        <c:varyColors val="0"/>
        <c:ser>
          <c:idx val="0"/>
          <c:order val="0"/>
          <c:tx>
            <c:strRef>
              <c:f>Sheet4!$B$3</c:f>
              <c:strCache>
                <c:ptCount val="1"/>
                <c:pt idx="0">
                  <c:v>Total</c:v>
                </c:pt>
              </c:strCache>
            </c:strRef>
          </c:tx>
          <c:spPr>
            <a:solidFill>
              <a:schemeClr val="accent1"/>
            </a:solidFill>
          </c:spPr>
          <c:invertIfNegative val="0"/>
          <c:cat>
            <c:strRef>
              <c:f>Sheet4!$A$4:$A$16</c:f>
              <c:strCache>
                <c:ptCount val="12"/>
                <c:pt idx="0">
                  <c:v>85</c:v>
                </c:pt>
                <c:pt idx="1">
                  <c:v>90</c:v>
                </c:pt>
                <c:pt idx="2">
                  <c:v>125</c:v>
                </c:pt>
                <c:pt idx="3">
                  <c:v>130</c:v>
                </c:pt>
                <c:pt idx="4">
                  <c:v>135</c:v>
                </c:pt>
                <c:pt idx="5">
                  <c:v>160</c:v>
                </c:pt>
                <c:pt idx="6">
                  <c:v>190</c:v>
                </c:pt>
                <c:pt idx="7">
                  <c:v>200</c:v>
                </c:pt>
                <c:pt idx="8">
                  <c:v>210</c:v>
                </c:pt>
                <c:pt idx="9">
                  <c:v>215</c:v>
                </c:pt>
                <c:pt idx="10">
                  <c:v>220</c:v>
                </c:pt>
                <c:pt idx="11">
                  <c:v>other</c:v>
                </c:pt>
              </c:strCache>
            </c:strRef>
          </c:cat>
          <c:val>
            <c:numRef>
              <c:f>Sheet4!$B$4:$B$16</c:f>
              <c:numCache>
                <c:formatCode>0.00%</c:formatCode>
                <c:ptCount val="12"/>
                <c:pt idx="0">
                  <c:v>5.7248384118190214E-2</c:v>
                </c:pt>
                <c:pt idx="1">
                  <c:v>5.5401662049861496E-3</c:v>
                </c:pt>
                <c:pt idx="2">
                  <c:v>6.9252077562326875E-2</c:v>
                </c:pt>
                <c:pt idx="3">
                  <c:v>0.39150507848568789</c:v>
                </c:pt>
                <c:pt idx="4">
                  <c:v>0.22253000923361035</c:v>
                </c:pt>
                <c:pt idx="5">
                  <c:v>2.5854108956602031E-2</c:v>
                </c:pt>
                <c:pt idx="6">
                  <c:v>0.13019390581717452</c:v>
                </c:pt>
                <c:pt idx="7">
                  <c:v>3.3240997229916899E-2</c:v>
                </c:pt>
                <c:pt idx="8">
                  <c:v>2.8624192059095107E-2</c:v>
                </c:pt>
                <c:pt idx="9">
                  <c:v>1.9390581717451522E-2</c:v>
                </c:pt>
                <c:pt idx="10">
                  <c:v>1.662049861495845E-2</c:v>
                </c:pt>
                <c:pt idx="11">
                  <c:v>0</c:v>
                </c:pt>
              </c:numCache>
            </c:numRef>
          </c:val>
        </c:ser>
        <c:dLbls>
          <c:showLegendKey val="0"/>
          <c:showVal val="0"/>
          <c:showCatName val="0"/>
          <c:showSerName val="0"/>
          <c:showPercent val="0"/>
          <c:showBubbleSize val="0"/>
        </c:dLbls>
        <c:gapWidth val="150"/>
        <c:axId val="208421632"/>
        <c:axId val="208423168"/>
      </c:barChart>
      <c:catAx>
        <c:axId val="208421632"/>
        <c:scaling>
          <c:orientation val="minMax"/>
        </c:scaling>
        <c:delete val="0"/>
        <c:axPos val="b"/>
        <c:majorTickMark val="out"/>
        <c:minorTickMark val="none"/>
        <c:tickLblPos val="nextTo"/>
        <c:spPr>
          <a:solidFill>
            <a:sysClr val="window" lastClr="FFFFFF"/>
          </a:solidFill>
        </c:spPr>
        <c:crossAx val="208423168"/>
        <c:crosses val="autoZero"/>
        <c:auto val="1"/>
        <c:lblAlgn val="ctr"/>
        <c:lblOffset val="100"/>
        <c:noMultiLvlLbl val="0"/>
      </c:catAx>
      <c:valAx>
        <c:axId val="208423168"/>
        <c:scaling>
          <c:orientation val="minMax"/>
        </c:scaling>
        <c:delete val="0"/>
        <c:axPos val="l"/>
        <c:majorGridlines>
          <c:spPr>
            <a:ln>
              <a:noFill/>
            </a:ln>
            <a:effectLst/>
          </c:spPr>
        </c:majorGridlines>
        <c:numFmt formatCode="0.00%" sourceLinked="1"/>
        <c:majorTickMark val="out"/>
        <c:minorTickMark val="none"/>
        <c:tickLblPos val="nextTo"/>
        <c:crossAx val="208421632"/>
        <c:crosses val="autoZero"/>
        <c:crossBetween val="between"/>
      </c:valAx>
      <c:spPr>
        <a:noFill/>
      </c:spPr>
    </c:plotArea>
    <c:plotVisOnly val="1"/>
    <c:dispBlanksAs val="gap"/>
    <c:showDLblsOverMax val="0"/>
  </c:chart>
  <c:spPr>
    <a:solidFill>
      <a:sysClr val="window" lastClr="FFFFFF"/>
    </a:solidFill>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[xlx.xlsx]Sheet4!PivotTable5</c:name>
    <c:fmtId val="0"/>
  </c:pivotSource>
  <c:chart>
    <c:title>
      <c:tx>
        <c:rich>
          <a:bodyPr/>
          <a:lstStyle/>
          <a:p>
            <a:pPr>
              <a:defRPr/>
            </a:pPr>
            <a:r>
              <a:rPr lang="en-US"/>
              <a:t>Product</a:t>
            </a:r>
            <a:r>
              <a:rPr lang="en-US" baseline="0"/>
              <a:t> VS Discount</a:t>
            </a:r>
            <a:endParaRPr lang="en-US"/>
          </a:p>
        </c:rich>
      </c:tx>
      <c:layout>
        <c:manualLayout>
          <c:xMode val="edge"/>
          <c:yMode val="edge"/>
          <c:x val="0.11377500226264821"/>
          <c:y val="0"/>
        </c:manualLayout>
      </c:layout>
      <c:overlay val="0"/>
    </c:title>
    <c:autoTitleDeleted val="0"/>
    <c:pivotFmts>
      <c:pivotFmt>
        <c:idx val="0"/>
        <c:spPr>
          <a:solidFill>
            <a:srgbClr val="00B0F0">
              <a:alpha val="98824"/>
            </a:srgbClr>
          </a:solidFill>
          <a:ln>
            <a:solidFill>
              <a:schemeClr val="accent3">
                <a:lumMod val="60000"/>
                <a:lumOff val="40000"/>
              </a:schemeClr>
            </a:solidFill>
          </a:ln>
        </c:spPr>
        <c:marker>
          <c:symbol val="none"/>
        </c:marker>
        <c:dLbl>
          <c:idx val="0"/>
          <c:delete val="1"/>
        </c:dLbl>
      </c:pivotFmt>
      <c:pivotFmt>
        <c:idx val="1"/>
        <c:spPr>
          <a:solidFill>
            <a:schemeClr val="tx2">
              <a:alpha val="98824"/>
            </a:schemeClr>
          </a:solidFill>
          <a:ln>
            <a:solidFill>
              <a:schemeClr val="accent3">
                <a:lumMod val="60000"/>
                <a:lumOff val="40000"/>
              </a:schemeClr>
            </a:solidFill>
          </a:ln>
        </c:spPr>
        <c:dLbl>
          <c:idx val="0"/>
          <c:layout>
            <c:manualLayout>
              <c:x val="0.11050665218571808"/>
              <c:y val="1.6388122026428486E-2"/>
            </c:manualLayout>
          </c:layout>
          <c:showLegendKey val="0"/>
          <c:showVal val="1"/>
          <c:showCatName val="0"/>
          <c:showSerName val="0"/>
          <c:showPercent val="0"/>
          <c:showBubbleSize val="0"/>
        </c:dLbl>
      </c:pivotFmt>
      <c:pivotFmt>
        <c:idx val="2"/>
        <c:spPr>
          <a:solidFill>
            <a:srgbClr val="00B0F0">
              <a:alpha val="98824"/>
            </a:srgbClr>
          </a:solidFill>
          <a:ln>
            <a:solidFill>
              <a:schemeClr val="accent3">
                <a:lumMod val="60000"/>
                <a:lumOff val="40000"/>
              </a:schemeClr>
            </a:solidFill>
          </a:ln>
        </c:spPr>
        <c:dLbl>
          <c:idx val="0"/>
          <c:layout>
            <c:manualLayout>
              <c:x val="0.11167852077665642"/>
              <c:y val="-0.26595787314530134"/>
            </c:manualLayout>
          </c:layout>
          <c:showLegendKey val="0"/>
          <c:showVal val="1"/>
          <c:showCatName val="0"/>
          <c:showSerName val="0"/>
          <c:showPercent val="0"/>
          <c:showBubbleSize val="0"/>
        </c:dLbl>
      </c:pivotFmt>
    </c:pivotFmts>
    <c:view3D>
      <c:rotX val="30"/>
      <c:rotY val="360"/>
      <c:rAngAx val="0"/>
      <c:perspective val="30"/>
    </c:view3D>
    <c:floor>
      <c:thickness val="0"/>
    </c:floor>
    <c:sideWall>
      <c:thickness val="0"/>
    </c:sideWall>
    <c:backWall>
      <c:thickness val="0"/>
    </c:backWall>
    <c:plotArea>
      <c:layout>
        <c:manualLayout>
          <c:layoutTarget val="inner"/>
          <c:xMode val="edge"/>
          <c:yMode val="edge"/>
          <c:x val="0"/>
          <c:y val="0.24915996340132837"/>
          <c:w val="1"/>
          <c:h val="0.7508400365986716"/>
        </c:manualLayout>
      </c:layout>
      <c:pie3DChart>
        <c:varyColors val="1"/>
        <c:ser>
          <c:idx val="0"/>
          <c:order val="0"/>
          <c:tx>
            <c:strRef>
              <c:f>Sheet4!$B$29</c:f>
              <c:strCache>
                <c:ptCount val="1"/>
                <c:pt idx="0">
                  <c:v>Total</c:v>
                </c:pt>
              </c:strCache>
            </c:strRef>
          </c:tx>
          <c:spPr>
            <a:solidFill>
              <a:srgbClr val="00B0F0">
                <a:alpha val="98824"/>
              </a:srgbClr>
            </a:solidFill>
            <a:ln>
              <a:solidFill>
                <a:schemeClr val="accent3">
                  <a:lumMod val="60000"/>
                  <a:lumOff val="40000"/>
                </a:schemeClr>
              </a:solidFill>
            </a:ln>
          </c:spPr>
          <c:explosion val="25"/>
          <c:dPt>
            <c:idx val="0"/>
            <c:bubble3D val="0"/>
            <c:spPr>
              <a:solidFill>
                <a:schemeClr val="tx2">
                  <a:alpha val="98824"/>
                </a:schemeClr>
              </a:solidFill>
              <a:ln>
                <a:solidFill>
                  <a:schemeClr val="accent3">
                    <a:lumMod val="60000"/>
                    <a:lumOff val="40000"/>
                  </a:schemeClr>
                </a:solidFill>
              </a:ln>
            </c:spPr>
          </c:dPt>
          <c:dPt>
            <c:idx val="1"/>
            <c:bubble3D val="0"/>
            <c:spPr>
              <a:solidFill>
                <a:srgbClr val="00B0F0">
                  <a:alpha val="98824"/>
                </a:srgbClr>
              </a:solidFill>
              <a:ln>
                <a:solidFill>
                  <a:schemeClr val="accent3">
                    <a:lumMod val="60000"/>
                    <a:lumOff val="40000"/>
                  </a:schemeClr>
                </a:solidFill>
              </a:ln>
            </c:spPr>
          </c:dPt>
          <c:dLbls>
            <c:dLbl>
              <c:idx val="0"/>
              <c:layout>
                <c:manualLayout>
                  <c:x val="0.11050665218571808"/>
                  <c:y val="1.6388122026428486E-2"/>
                </c:manualLayout>
              </c:layout>
              <c:showLegendKey val="0"/>
              <c:showVal val="1"/>
              <c:showCatName val="0"/>
              <c:showSerName val="0"/>
              <c:showPercent val="0"/>
              <c:showBubbleSize val="0"/>
            </c:dLbl>
            <c:dLbl>
              <c:idx val="1"/>
              <c:layout>
                <c:manualLayout>
                  <c:x val="0.11167852077665642"/>
                  <c:y val="-0.26595787314530134"/>
                </c:manualLayout>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Sheet4!$A$30:$A$32</c:f>
              <c:strCache>
                <c:ptCount val="2"/>
                <c:pt idx="0">
                  <c:v>CAS Calculator</c:v>
                </c:pt>
                <c:pt idx="1">
                  <c:v>Graphing Calculator</c:v>
                </c:pt>
              </c:strCache>
            </c:strRef>
          </c:cat>
          <c:val>
            <c:numRef>
              <c:f>Sheet4!$B$30:$B$32</c:f>
              <c:numCache>
                <c:formatCode>0.00%</c:formatCode>
                <c:ptCount val="2"/>
                <c:pt idx="0">
                  <c:v>6.9252077562326875E-2</c:v>
                </c:pt>
                <c:pt idx="1">
                  <c:v>0.93074792243767313</c:v>
                </c:pt>
              </c:numCache>
            </c:numRef>
          </c:val>
        </c:ser>
        <c:dLbls>
          <c:showLegendKey val="0"/>
          <c:showVal val="0"/>
          <c:showCatName val="0"/>
          <c:showSerName val="0"/>
          <c:showPercent val="0"/>
          <c:showBubbleSize val="0"/>
          <c:showLeaderLines val="1"/>
        </c:dLbls>
      </c:pie3DChart>
    </c:plotArea>
    <c:plotVisOnly val="1"/>
    <c:dispBlanksAs val="gap"/>
    <c:showDLblsOverMax val="0"/>
  </c:chart>
  <c:spPr>
    <a:solidFill>
      <a:sysClr val="window" lastClr="FFFFFF"/>
    </a:solidFill>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[xlx.xlsx]Sheet4!PivotTable6</c:name>
    <c:fmtId val="0"/>
  </c:pivotSource>
  <c:chart>
    <c:title>
      <c:tx>
        <c:rich>
          <a:bodyPr/>
          <a:lstStyle/>
          <a:p>
            <a:pPr>
              <a:defRPr/>
            </a:pPr>
            <a:r>
              <a:rPr lang="en-US"/>
              <a:t>Prod</a:t>
            </a:r>
            <a:r>
              <a:rPr lang="en-US" baseline="0"/>
              <a:t> Cat VS Sum  of Total</a:t>
            </a:r>
            <a:endParaRPr lang="en-US"/>
          </a:p>
        </c:rich>
      </c:tx>
      <c:layout>
        <c:manualLayout>
          <c:xMode val="edge"/>
          <c:yMode val="edge"/>
          <c:x val="0.1219294804673042"/>
          <c:y val="0"/>
        </c:manualLayout>
      </c:layout>
      <c:overlay val="0"/>
    </c:title>
    <c:autoTitleDeleted val="0"/>
    <c:pivotFmts>
      <c:pivotFmt>
        <c:idx val="0"/>
        <c:marker>
          <c:symbol val="none"/>
        </c:marker>
      </c:pivotFmt>
      <c:pivotFmt>
        <c:idx val="1"/>
        <c:spPr>
          <a:ln>
            <a:solidFill>
              <a:schemeClr val="accent2">
                <a:lumMod val="75000"/>
              </a:schemeClr>
            </a:solidFill>
          </a:ln>
        </c:spPr>
      </c:pivotFmt>
      <c:pivotFmt>
        <c:idx val="2"/>
      </c:pivotFmt>
      <c:pivotFmt>
        <c:idx val="3"/>
        <c:spPr>
          <a:ln>
            <a:solidFill>
              <a:schemeClr val="accent2">
                <a:lumMod val="75000"/>
              </a:schemeClr>
            </a:solidFill>
          </a:ln>
        </c:spPr>
      </c:pivotFmt>
    </c:pivotFmts>
    <c:plotArea>
      <c:layout>
        <c:manualLayout>
          <c:layoutTarget val="inner"/>
          <c:xMode val="edge"/>
          <c:yMode val="edge"/>
          <c:x val="0.16714905541739328"/>
          <c:y val="0.20273701195910823"/>
          <c:w val="0.79304995522744826"/>
          <c:h val="0.58840855009855286"/>
        </c:manualLayout>
      </c:layout>
      <c:lineChart>
        <c:grouping val="standard"/>
        <c:varyColors val="0"/>
        <c:ser>
          <c:idx val="0"/>
          <c:order val="0"/>
          <c:tx>
            <c:strRef>
              <c:f>Sheet4!$B$42</c:f>
              <c:strCache>
                <c:ptCount val="1"/>
                <c:pt idx="0">
                  <c:v>Total</c:v>
                </c:pt>
              </c:strCache>
            </c:strRef>
          </c:tx>
          <c:marker>
            <c:symbol val="none"/>
          </c:marker>
          <c:dPt>
            <c:idx val="0"/>
            <c:bubble3D val="0"/>
          </c:dPt>
          <c:dPt>
            <c:idx val="1"/>
            <c:bubble3D val="0"/>
            <c:spPr>
              <a:ln>
                <a:solidFill>
                  <a:schemeClr val="accent2">
                    <a:lumMod val="75000"/>
                  </a:schemeClr>
                </a:solidFill>
              </a:ln>
            </c:spPr>
          </c:dPt>
          <c:dPt>
            <c:idx val="2"/>
            <c:bubble3D val="0"/>
            <c:spPr>
              <a:ln>
                <a:solidFill>
                  <a:schemeClr val="accent2">
                    <a:lumMod val="75000"/>
                  </a:schemeClr>
                </a:solidFill>
              </a:ln>
            </c:spPr>
          </c:dPt>
          <c:cat>
            <c:strRef>
              <c:f>Sheet4!$A$43:$A$46</c:f>
              <c:strCache>
                <c:ptCount val="3"/>
                <c:pt idx="0">
                  <c:v>CAS Calculator</c:v>
                </c:pt>
                <c:pt idx="1">
                  <c:v>Graphing Calculator</c:v>
                </c:pt>
                <c:pt idx="2">
                  <c:v>Other</c:v>
                </c:pt>
              </c:strCache>
            </c:strRef>
          </c:cat>
          <c:val>
            <c:numRef>
              <c:f>Sheet4!$B$43:$B$46</c:f>
              <c:numCache>
                <c:formatCode>General</c:formatCode>
                <c:ptCount val="3"/>
                <c:pt idx="0">
                  <c:v>24605</c:v>
                </c:pt>
                <c:pt idx="1">
                  <c:v>194875</c:v>
                </c:pt>
              </c:numCache>
            </c:numRef>
          </c:val>
          <c:smooth val="0"/>
        </c:ser>
        <c:dLbls>
          <c:showLegendKey val="0"/>
          <c:showVal val="0"/>
          <c:showCatName val="0"/>
          <c:showSerName val="0"/>
          <c:showPercent val="0"/>
          <c:showBubbleSize val="0"/>
        </c:dLbls>
        <c:marker val="1"/>
        <c:smooth val="0"/>
        <c:axId val="208510976"/>
        <c:axId val="208512512"/>
      </c:lineChart>
      <c:catAx>
        <c:axId val="208510976"/>
        <c:scaling>
          <c:orientation val="minMax"/>
        </c:scaling>
        <c:delete val="0"/>
        <c:axPos val="b"/>
        <c:majorTickMark val="out"/>
        <c:minorTickMark val="none"/>
        <c:tickLblPos val="nextTo"/>
        <c:crossAx val="208512512"/>
        <c:crosses val="autoZero"/>
        <c:auto val="1"/>
        <c:lblAlgn val="ctr"/>
        <c:lblOffset val="100"/>
        <c:noMultiLvlLbl val="0"/>
      </c:catAx>
      <c:valAx>
        <c:axId val="208512512"/>
        <c:scaling>
          <c:orientation val="minMax"/>
        </c:scaling>
        <c:delete val="0"/>
        <c:axPos val="l"/>
        <c:numFmt formatCode="General" sourceLinked="1"/>
        <c:majorTickMark val="out"/>
        <c:minorTickMark val="none"/>
        <c:tickLblPos val="nextTo"/>
        <c:crossAx val="208510976"/>
        <c:crosses val="autoZero"/>
        <c:crossBetween val="between"/>
      </c:valAx>
      <c:spPr>
        <a:solidFill>
          <a:schemeClr val="bg1"/>
        </a:solidFill>
      </c:spPr>
    </c:plotArea>
    <c:plotVisOnly val="1"/>
    <c:dispBlanksAs val="gap"/>
    <c:showDLblsOverMax val="0"/>
  </c:chart>
  <c:spPr>
    <a:solidFill>
      <a:schemeClr val="bg1"/>
    </a:solidFill>
    <a:ln>
      <a:solidFill>
        <a:schemeClr val="accent5">
          <a:lumMod val="20000"/>
          <a:lumOff val="80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[xlx.xlsx]Sheet4!PivotTable7</c:name>
    <c:fmtId val="1"/>
  </c:pivotSource>
  <c:chart>
    <c:title>
      <c:tx>
        <c:rich>
          <a:bodyPr/>
          <a:lstStyle/>
          <a:p>
            <a:pPr>
              <a:defRPr/>
            </a:pPr>
            <a:r>
              <a:rPr lang="en-US"/>
              <a:t>Products</a:t>
            </a:r>
            <a:r>
              <a:rPr lang="en-US" baseline="0"/>
              <a:t> </a:t>
            </a:r>
            <a:endParaRPr lang="en-US"/>
          </a:p>
        </c:rich>
      </c:tx>
      <c:layout/>
      <c:overlay val="0"/>
    </c:title>
    <c:autoTitleDeleted val="0"/>
    <c:pivotFmts>
      <c:pivotFmt>
        <c:idx val="0"/>
        <c:spPr>
          <a:solidFill>
            <a:schemeClr val="tx2"/>
          </a:solidFill>
        </c:spPr>
        <c:marker>
          <c:symbol val="none"/>
        </c:marker>
      </c:pivotFmt>
    </c:pivotFmts>
    <c:plotArea>
      <c:layout>
        <c:manualLayout>
          <c:layoutTarget val="inner"/>
          <c:xMode val="edge"/>
          <c:yMode val="edge"/>
          <c:x val="0.23117956970707129"/>
          <c:y val="0.12488444152814233"/>
          <c:w val="0.66953426442132691"/>
          <c:h val="0.75913568095654704"/>
        </c:manualLayout>
      </c:layout>
      <c:barChart>
        <c:barDir val="bar"/>
        <c:grouping val="clustered"/>
        <c:varyColors val="0"/>
        <c:ser>
          <c:idx val="0"/>
          <c:order val="0"/>
          <c:tx>
            <c:strRef>
              <c:f>Sheet4!$B$111</c:f>
              <c:strCache>
                <c:ptCount val="1"/>
                <c:pt idx="0">
                  <c:v>Total</c:v>
                </c:pt>
              </c:strCache>
            </c:strRef>
          </c:tx>
          <c:spPr>
            <a:solidFill>
              <a:schemeClr val="tx2"/>
            </a:solidFill>
          </c:spPr>
          <c:invertIfNegative val="0"/>
          <c:cat>
            <c:strRef>
              <c:f>Sheet4!$A$112:$A$119</c:f>
              <c:strCache>
                <c:ptCount val="7"/>
                <c:pt idx="0">
                  <c:v>TI-83 plus</c:v>
                </c:pt>
                <c:pt idx="1">
                  <c:v>ti-84 plus</c:v>
                </c:pt>
                <c:pt idx="2">
                  <c:v>Ti-84 Plus C Se</c:v>
                </c:pt>
                <c:pt idx="3">
                  <c:v>ti-84 plus ce</c:v>
                </c:pt>
                <c:pt idx="4">
                  <c:v>TI-84 PLUS CE PYTHON</c:v>
                </c:pt>
                <c:pt idx="5">
                  <c:v>ti-nspire cx</c:v>
                </c:pt>
                <c:pt idx="6">
                  <c:v>Ti-nspire CX II</c:v>
                </c:pt>
              </c:strCache>
            </c:strRef>
          </c:cat>
          <c:val>
            <c:numRef>
              <c:f>Sheet4!$B$112:$B$119</c:f>
              <c:numCache>
                <c:formatCode>General</c:formatCode>
                <c:ptCount val="7"/>
                <c:pt idx="0">
                  <c:v>13</c:v>
                </c:pt>
                <c:pt idx="1">
                  <c:v>5</c:v>
                </c:pt>
                <c:pt idx="2">
                  <c:v>4</c:v>
                </c:pt>
                <c:pt idx="3">
                  <c:v>71</c:v>
                </c:pt>
                <c:pt idx="4">
                  <c:v>46</c:v>
                </c:pt>
                <c:pt idx="5">
                  <c:v>18</c:v>
                </c:pt>
                <c:pt idx="6">
                  <c:v>6</c:v>
                </c:pt>
              </c:numCache>
            </c:numRef>
          </c:val>
        </c:ser>
        <c:dLbls>
          <c:showLegendKey val="0"/>
          <c:showVal val="0"/>
          <c:showCatName val="0"/>
          <c:showSerName val="0"/>
          <c:showPercent val="0"/>
          <c:showBubbleSize val="0"/>
        </c:dLbls>
        <c:gapWidth val="150"/>
        <c:axId val="208522624"/>
        <c:axId val="208528512"/>
      </c:barChart>
      <c:catAx>
        <c:axId val="208522624"/>
        <c:scaling>
          <c:orientation val="minMax"/>
        </c:scaling>
        <c:delete val="0"/>
        <c:axPos val="l"/>
        <c:majorTickMark val="out"/>
        <c:minorTickMark val="none"/>
        <c:tickLblPos val="nextTo"/>
        <c:crossAx val="208528512"/>
        <c:crosses val="autoZero"/>
        <c:auto val="1"/>
        <c:lblAlgn val="ctr"/>
        <c:lblOffset val="100"/>
        <c:noMultiLvlLbl val="0"/>
      </c:catAx>
      <c:valAx>
        <c:axId val="208528512"/>
        <c:scaling>
          <c:orientation val="minMax"/>
        </c:scaling>
        <c:delete val="0"/>
        <c:axPos val="b"/>
        <c:numFmt formatCode="General" sourceLinked="1"/>
        <c:majorTickMark val="out"/>
        <c:minorTickMark val="none"/>
        <c:tickLblPos val="nextTo"/>
        <c:crossAx val="20852262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[xlx.xlsx]Sheet4!PivotTable3</c:name>
    <c:fmtId val="4"/>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Sheet4!$B$142</c:f>
              <c:strCache>
                <c:ptCount val="1"/>
                <c:pt idx="0">
                  <c:v>Total</c:v>
                </c:pt>
              </c:strCache>
            </c:strRef>
          </c:tx>
          <c:invertIfNegative val="0"/>
          <c:cat>
            <c:strRef>
              <c:f>Sheet4!$A$143:$A$400</c:f>
              <c:strCache>
                <c:ptCount val="257"/>
                <c:pt idx="0">
                  <c:v>13/1/2023 </c:v>
                </c:pt>
                <c:pt idx="1">
                  <c:v>13/10/2023 </c:v>
                </c:pt>
                <c:pt idx="2">
                  <c:v>13/11/2023 </c:v>
                </c:pt>
                <c:pt idx="3">
                  <c:v>13/4/2023 </c:v>
                </c:pt>
                <c:pt idx="4">
                  <c:v>13/5/2023 </c:v>
                </c:pt>
                <c:pt idx="5">
                  <c:v>13/6/2023 </c:v>
                </c:pt>
                <c:pt idx="6">
                  <c:v>13/7/2023 </c:v>
                </c:pt>
                <c:pt idx="7">
                  <c:v>13/8/2023 </c:v>
                </c:pt>
                <c:pt idx="8">
                  <c:v>13/9/2023 </c:v>
                </c:pt>
                <c:pt idx="9">
                  <c:v>14/10/2023 </c:v>
                </c:pt>
                <c:pt idx="10">
                  <c:v>14/11/2023 </c:v>
                </c:pt>
                <c:pt idx="11">
                  <c:v>14/12/2023 </c:v>
                </c:pt>
                <c:pt idx="12">
                  <c:v>14/3/2023 </c:v>
                </c:pt>
                <c:pt idx="13">
                  <c:v>14/4/2023 </c:v>
                </c:pt>
                <c:pt idx="14">
                  <c:v>14/5/2023 </c:v>
                </c:pt>
                <c:pt idx="15">
                  <c:v>14/7/2023 </c:v>
                </c:pt>
                <c:pt idx="16">
                  <c:v>15/1/2023 </c:v>
                </c:pt>
                <c:pt idx="17">
                  <c:v>15/10/2023 </c:v>
                </c:pt>
                <c:pt idx="18">
                  <c:v>15/11/2023 </c:v>
                </c:pt>
                <c:pt idx="19">
                  <c:v>15/2/2023 </c:v>
                </c:pt>
                <c:pt idx="20">
                  <c:v>15/3/2023 </c:v>
                </c:pt>
                <c:pt idx="21">
                  <c:v>15/5/2023 </c:v>
                </c:pt>
                <c:pt idx="22">
                  <c:v>15/6/2023 </c:v>
                </c:pt>
                <c:pt idx="23">
                  <c:v>15/7/2023 </c:v>
                </c:pt>
                <c:pt idx="24">
                  <c:v>15/8/2023 </c:v>
                </c:pt>
                <c:pt idx="25">
                  <c:v>15/9/2023 </c:v>
                </c:pt>
                <c:pt idx="26">
                  <c:v>16/10/2023 </c:v>
                </c:pt>
                <c:pt idx="27">
                  <c:v>16/11/2023 </c:v>
                </c:pt>
                <c:pt idx="28">
                  <c:v>16/12/2023 </c:v>
                </c:pt>
                <c:pt idx="29">
                  <c:v>16/3/2023 </c:v>
                </c:pt>
                <c:pt idx="30">
                  <c:v>16/4/2023 </c:v>
                </c:pt>
                <c:pt idx="31">
                  <c:v>16/5/2023 </c:v>
                </c:pt>
                <c:pt idx="32">
                  <c:v>16/6/2023 </c:v>
                </c:pt>
                <c:pt idx="33">
                  <c:v>16/7/2023 </c:v>
                </c:pt>
                <c:pt idx="34">
                  <c:v>16/9/2023 </c:v>
                </c:pt>
                <c:pt idx="35">
                  <c:v>17/1/2023 </c:v>
                </c:pt>
                <c:pt idx="36">
                  <c:v>17/10/2023 </c:v>
                </c:pt>
                <c:pt idx="37">
                  <c:v>17/11/2023 </c:v>
                </c:pt>
                <c:pt idx="38">
                  <c:v>17/2/2023 </c:v>
                </c:pt>
                <c:pt idx="39">
                  <c:v>17/3/2023 </c:v>
                </c:pt>
                <c:pt idx="40">
                  <c:v>17/4/2023 </c:v>
                </c:pt>
                <c:pt idx="41">
                  <c:v>17/5/2023 </c:v>
                </c:pt>
                <c:pt idx="42">
                  <c:v>17/7/2023 </c:v>
                </c:pt>
                <c:pt idx="43">
                  <c:v>17/8/2023 </c:v>
                </c:pt>
                <c:pt idx="44">
                  <c:v>17/9/2023 </c:v>
                </c:pt>
                <c:pt idx="45">
                  <c:v>18/1/2023 </c:v>
                </c:pt>
                <c:pt idx="46">
                  <c:v>18/10/2023 </c:v>
                </c:pt>
                <c:pt idx="47">
                  <c:v>18/11/2023 </c:v>
                </c:pt>
                <c:pt idx="48">
                  <c:v>18/12/2023 </c:v>
                </c:pt>
                <c:pt idx="49">
                  <c:v>18/2/2023 </c:v>
                </c:pt>
                <c:pt idx="50">
                  <c:v>18/3/2023 </c:v>
                </c:pt>
                <c:pt idx="51">
                  <c:v>18/4/2023 </c:v>
                </c:pt>
                <c:pt idx="52">
                  <c:v>18/6/2023 </c:v>
                </c:pt>
                <c:pt idx="53">
                  <c:v>18/7/2023 </c:v>
                </c:pt>
                <c:pt idx="54">
                  <c:v>18/8/2023 </c:v>
                </c:pt>
                <c:pt idx="55">
                  <c:v>18/9/2023 </c:v>
                </c:pt>
                <c:pt idx="56">
                  <c:v>19/10/2023 </c:v>
                </c:pt>
                <c:pt idx="57">
                  <c:v>19/11/2023 </c:v>
                </c:pt>
                <c:pt idx="58">
                  <c:v>19/12/2023 </c:v>
                </c:pt>
                <c:pt idx="59">
                  <c:v>19/2/2023 </c:v>
                </c:pt>
                <c:pt idx="60">
                  <c:v>19/4/2023 </c:v>
                </c:pt>
                <c:pt idx="61">
                  <c:v>19/7/2023 </c:v>
                </c:pt>
                <c:pt idx="62">
                  <c:v>19/8/2023 </c:v>
                </c:pt>
                <c:pt idx="63">
                  <c:v>19/9/2023 </c:v>
                </c:pt>
                <c:pt idx="64">
                  <c:v>20/1/2023 </c:v>
                </c:pt>
                <c:pt idx="65">
                  <c:v>20/10/2023 </c:v>
                </c:pt>
                <c:pt idx="66">
                  <c:v>20/11/2023 </c:v>
                </c:pt>
                <c:pt idx="67">
                  <c:v>20/12/2023 </c:v>
                </c:pt>
                <c:pt idx="68">
                  <c:v>20/2/2023 </c:v>
                </c:pt>
                <c:pt idx="69">
                  <c:v>20/3/2023 </c:v>
                </c:pt>
                <c:pt idx="70">
                  <c:v>20/4/2023 </c:v>
                </c:pt>
                <c:pt idx="71">
                  <c:v>20/5/2023 </c:v>
                </c:pt>
                <c:pt idx="72">
                  <c:v>20/6/2023 </c:v>
                </c:pt>
                <c:pt idx="73">
                  <c:v>20/7/2023 </c:v>
                </c:pt>
                <c:pt idx="74">
                  <c:v>20/8/2023 </c:v>
                </c:pt>
                <c:pt idx="75">
                  <c:v>20/9/2023 </c:v>
                </c:pt>
                <c:pt idx="76">
                  <c:v>21/10/2023 </c:v>
                </c:pt>
                <c:pt idx="77">
                  <c:v>21/11/2023 </c:v>
                </c:pt>
                <c:pt idx="78">
                  <c:v>21/12/2023 </c:v>
                </c:pt>
                <c:pt idx="79">
                  <c:v>21/2/2023 </c:v>
                </c:pt>
                <c:pt idx="80">
                  <c:v>21/3/2023 </c:v>
                </c:pt>
                <c:pt idx="81">
                  <c:v>21/5/2023 </c:v>
                </c:pt>
                <c:pt idx="82">
                  <c:v>21/6/2023 </c:v>
                </c:pt>
                <c:pt idx="83">
                  <c:v>21/7/2023 </c:v>
                </c:pt>
                <c:pt idx="84">
                  <c:v>21/8/2023 </c:v>
                </c:pt>
                <c:pt idx="85">
                  <c:v>22/1/2023 </c:v>
                </c:pt>
                <c:pt idx="86">
                  <c:v>22/11/2023 </c:v>
                </c:pt>
                <c:pt idx="87">
                  <c:v>22/12/2023 </c:v>
                </c:pt>
                <c:pt idx="88">
                  <c:v>22/2/2023 </c:v>
                </c:pt>
                <c:pt idx="89">
                  <c:v>22/3/2023 </c:v>
                </c:pt>
                <c:pt idx="90">
                  <c:v>22/4/2023 </c:v>
                </c:pt>
                <c:pt idx="91">
                  <c:v>22/7/2023 </c:v>
                </c:pt>
                <c:pt idx="92">
                  <c:v>23/1/2023 </c:v>
                </c:pt>
                <c:pt idx="93">
                  <c:v>23/2/2023 </c:v>
                </c:pt>
                <c:pt idx="94">
                  <c:v>23/3/2023 </c:v>
                </c:pt>
                <c:pt idx="95">
                  <c:v>23/4/2023 </c:v>
                </c:pt>
                <c:pt idx="96">
                  <c:v>23/5/2023 </c:v>
                </c:pt>
                <c:pt idx="97">
                  <c:v>23/6/2023 </c:v>
                </c:pt>
                <c:pt idx="98">
                  <c:v>23/7/2023 </c:v>
                </c:pt>
                <c:pt idx="99">
                  <c:v>23/8/2023 </c:v>
                </c:pt>
                <c:pt idx="100">
                  <c:v>24/11/2023 </c:v>
                </c:pt>
                <c:pt idx="101">
                  <c:v>24/12/2023 </c:v>
                </c:pt>
                <c:pt idx="102">
                  <c:v>24/3/2023 </c:v>
                </c:pt>
                <c:pt idx="103">
                  <c:v>24/4/2023 </c:v>
                </c:pt>
                <c:pt idx="104">
                  <c:v>24/5/2023 </c:v>
                </c:pt>
                <c:pt idx="105">
                  <c:v>24/6/2023 </c:v>
                </c:pt>
                <c:pt idx="106">
                  <c:v>24/7/2023 </c:v>
                </c:pt>
                <c:pt idx="107">
                  <c:v>24/9/2023 </c:v>
                </c:pt>
                <c:pt idx="108">
                  <c:v>25/1/2023 </c:v>
                </c:pt>
                <c:pt idx="109">
                  <c:v>25/10/2023 </c:v>
                </c:pt>
                <c:pt idx="110">
                  <c:v>25/11/2023 </c:v>
                </c:pt>
                <c:pt idx="111">
                  <c:v>25/4/2023 </c:v>
                </c:pt>
                <c:pt idx="112">
                  <c:v>25/6/2023 </c:v>
                </c:pt>
                <c:pt idx="113">
                  <c:v>25/7/2023 </c:v>
                </c:pt>
                <c:pt idx="114">
                  <c:v>25/9/2023 </c:v>
                </c:pt>
                <c:pt idx="115">
                  <c:v>26/1/2023 </c:v>
                </c:pt>
                <c:pt idx="116">
                  <c:v>26/10/2023 </c:v>
                </c:pt>
                <c:pt idx="117">
                  <c:v>26/2/2023 </c:v>
                </c:pt>
                <c:pt idx="118">
                  <c:v>26/3/2023 </c:v>
                </c:pt>
                <c:pt idx="119">
                  <c:v>26/4/2023 </c:v>
                </c:pt>
                <c:pt idx="120">
                  <c:v>26/6/2023 </c:v>
                </c:pt>
                <c:pt idx="121">
                  <c:v>26/7/2023 </c:v>
                </c:pt>
                <c:pt idx="122">
                  <c:v>26/8/2023 </c:v>
                </c:pt>
                <c:pt idx="123">
                  <c:v>26/9/2023 </c:v>
                </c:pt>
                <c:pt idx="124">
                  <c:v>27/1/2023 </c:v>
                </c:pt>
                <c:pt idx="125">
                  <c:v>27/10/2023 </c:v>
                </c:pt>
                <c:pt idx="126">
                  <c:v>27/11/2023 </c:v>
                </c:pt>
                <c:pt idx="127">
                  <c:v>27/12/2023 </c:v>
                </c:pt>
                <c:pt idx="128">
                  <c:v>27/2/2023 </c:v>
                </c:pt>
                <c:pt idx="129">
                  <c:v>27/3/2023 </c:v>
                </c:pt>
                <c:pt idx="130">
                  <c:v>27/4/2023 </c:v>
                </c:pt>
                <c:pt idx="131">
                  <c:v>27/5/2023 </c:v>
                </c:pt>
                <c:pt idx="132">
                  <c:v>27/6/2023 </c:v>
                </c:pt>
                <c:pt idx="133">
                  <c:v>27/7/2023 </c:v>
                </c:pt>
                <c:pt idx="134">
                  <c:v>27/8/2023 </c:v>
                </c:pt>
                <c:pt idx="135">
                  <c:v>27/9/2023 </c:v>
                </c:pt>
                <c:pt idx="136">
                  <c:v>28/10/2023 </c:v>
                </c:pt>
                <c:pt idx="137">
                  <c:v>28/2/2023 </c:v>
                </c:pt>
                <c:pt idx="138">
                  <c:v>28/4/2023 </c:v>
                </c:pt>
                <c:pt idx="139">
                  <c:v>28/6/2023 </c:v>
                </c:pt>
                <c:pt idx="140">
                  <c:v>28/7/2023 </c:v>
                </c:pt>
                <c:pt idx="141">
                  <c:v>28/9/2023 </c:v>
                </c:pt>
                <c:pt idx="142">
                  <c:v>29/1/2023 </c:v>
                </c:pt>
                <c:pt idx="143">
                  <c:v>29/3/2023 </c:v>
                </c:pt>
                <c:pt idx="144">
                  <c:v>29/5/2023 </c:v>
                </c:pt>
                <c:pt idx="145">
                  <c:v>29/6/2023 </c:v>
                </c:pt>
                <c:pt idx="146">
                  <c:v>29/7/2023 </c:v>
                </c:pt>
                <c:pt idx="147">
                  <c:v>29/8/2023 </c:v>
                </c:pt>
                <c:pt idx="148">
                  <c:v>29/9/2023 </c:v>
                </c:pt>
                <c:pt idx="149">
                  <c:v>30/1/2023 </c:v>
                </c:pt>
                <c:pt idx="150">
                  <c:v>30/10/2023 </c:v>
                </c:pt>
                <c:pt idx="151">
                  <c:v>30/11/2023 </c:v>
                </c:pt>
                <c:pt idx="152">
                  <c:v>30/3/2023 </c:v>
                </c:pt>
                <c:pt idx="153">
                  <c:v>30/4/2023 </c:v>
                </c:pt>
                <c:pt idx="154">
                  <c:v>30/5/2023 </c:v>
                </c:pt>
                <c:pt idx="155">
                  <c:v>30/6/2023 </c:v>
                </c:pt>
                <c:pt idx="156">
                  <c:v>30/7/2023 </c:v>
                </c:pt>
                <c:pt idx="157">
                  <c:v>30/9/2023 </c:v>
                </c:pt>
                <c:pt idx="158">
                  <c:v>31/1/2023 </c:v>
                </c:pt>
                <c:pt idx="159">
                  <c:v>31/3/2023 </c:v>
                </c:pt>
                <c:pt idx="160">
                  <c:v>31/5/2023 </c:v>
                </c:pt>
                <c:pt idx="161">
                  <c:v>31/7/2023 </c:v>
                </c:pt>
                <c:pt idx="162">
                  <c:v>1/1/2023</c:v>
                </c:pt>
                <c:pt idx="163">
                  <c:v>1/3/2023</c:v>
                </c:pt>
                <c:pt idx="164">
                  <c:v>1/4/2023</c:v>
                </c:pt>
                <c:pt idx="165">
                  <c:v>1/5/2023</c:v>
                </c:pt>
                <c:pt idx="166">
                  <c:v>1/6/2023</c:v>
                </c:pt>
                <c:pt idx="167">
                  <c:v>1/7/2023</c:v>
                </c:pt>
                <c:pt idx="168">
                  <c:v>1/8/2023</c:v>
                </c:pt>
                <c:pt idx="169">
                  <c:v>1/9/2023</c:v>
                </c:pt>
                <c:pt idx="170">
                  <c:v>1/10/2023</c:v>
                </c:pt>
                <c:pt idx="171">
                  <c:v>1/12/2023</c:v>
                </c:pt>
                <c:pt idx="172">
                  <c:v>2/4/2023</c:v>
                </c:pt>
                <c:pt idx="173">
                  <c:v>2/5/2023</c:v>
                </c:pt>
                <c:pt idx="174">
                  <c:v>2/6/2023</c:v>
                </c:pt>
                <c:pt idx="175">
                  <c:v>2/8/2023</c:v>
                </c:pt>
                <c:pt idx="176">
                  <c:v>2/9/2023</c:v>
                </c:pt>
                <c:pt idx="177">
                  <c:v>2/10/2023</c:v>
                </c:pt>
                <c:pt idx="178">
                  <c:v>2/11/2023</c:v>
                </c:pt>
                <c:pt idx="179">
                  <c:v>3/1/2023</c:v>
                </c:pt>
                <c:pt idx="180">
                  <c:v>3/2/2023</c:v>
                </c:pt>
                <c:pt idx="181">
                  <c:v>3/5/2023</c:v>
                </c:pt>
                <c:pt idx="182">
                  <c:v>3/8/2023</c:v>
                </c:pt>
                <c:pt idx="183">
                  <c:v>3/9/2023</c:v>
                </c:pt>
                <c:pt idx="184">
                  <c:v>3/10/2023</c:v>
                </c:pt>
                <c:pt idx="185">
                  <c:v>3/12/2023</c:v>
                </c:pt>
                <c:pt idx="186">
                  <c:v>4/1/2023</c:v>
                </c:pt>
                <c:pt idx="187">
                  <c:v>4/4/2023</c:v>
                </c:pt>
                <c:pt idx="188">
                  <c:v>4/5/2023</c:v>
                </c:pt>
                <c:pt idx="189">
                  <c:v>4/6/2023</c:v>
                </c:pt>
                <c:pt idx="190">
                  <c:v>4/10/2023</c:v>
                </c:pt>
                <c:pt idx="191">
                  <c:v>4/11/2023</c:v>
                </c:pt>
                <c:pt idx="192">
                  <c:v>4/12/2023</c:v>
                </c:pt>
                <c:pt idx="193">
                  <c:v>5/1/2023</c:v>
                </c:pt>
                <c:pt idx="194">
                  <c:v>5/3/2023</c:v>
                </c:pt>
                <c:pt idx="195">
                  <c:v>5/6/2023</c:v>
                </c:pt>
                <c:pt idx="196">
                  <c:v>5/7/2023</c:v>
                </c:pt>
                <c:pt idx="197">
                  <c:v>5/9/2023</c:v>
                </c:pt>
                <c:pt idx="198">
                  <c:v>5/11/2023</c:v>
                </c:pt>
                <c:pt idx="199">
                  <c:v>5/12/2023</c:v>
                </c:pt>
                <c:pt idx="200">
                  <c:v>6/1/2023</c:v>
                </c:pt>
                <c:pt idx="201">
                  <c:v>6/2/2023</c:v>
                </c:pt>
                <c:pt idx="202">
                  <c:v>6/3/2023</c:v>
                </c:pt>
                <c:pt idx="203">
                  <c:v>6/5/2023</c:v>
                </c:pt>
                <c:pt idx="204">
                  <c:v>6/6/2023</c:v>
                </c:pt>
                <c:pt idx="205">
                  <c:v>6/8/2023</c:v>
                </c:pt>
                <c:pt idx="206">
                  <c:v>6/9/2023</c:v>
                </c:pt>
                <c:pt idx="207">
                  <c:v>6/10/2023</c:v>
                </c:pt>
                <c:pt idx="208">
                  <c:v>6/12/2023</c:v>
                </c:pt>
                <c:pt idx="209">
                  <c:v>7/2/2023</c:v>
                </c:pt>
                <c:pt idx="210">
                  <c:v>7/3/2023</c:v>
                </c:pt>
                <c:pt idx="211">
                  <c:v>7/4/2023</c:v>
                </c:pt>
                <c:pt idx="212">
                  <c:v>7/5/2023</c:v>
                </c:pt>
                <c:pt idx="213">
                  <c:v>7/8/2023</c:v>
                </c:pt>
                <c:pt idx="214">
                  <c:v>7/9/2023</c:v>
                </c:pt>
                <c:pt idx="215">
                  <c:v>7/11/2023</c:v>
                </c:pt>
                <c:pt idx="216">
                  <c:v>7/12/2023</c:v>
                </c:pt>
                <c:pt idx="217">
                  <c:v>8/2/2023</c:v>
                </c:pt>
                <c:pt idx="218">
                  <c:v>8/4/2023</c:v>
                </c:pt>
                <c:pt idx="219">
                  <c:v>8/6/2023</c:v>
                </c:pt>
                <c:pt idx="220">
                  <c:v>8/7/2023</c:v>
                </c:pt>
                <c:pt idx="221">
                  <c:v>8/8/2023</c:v>
                </c:pt>
                <c:pt idx="222">
                  <c:v>8/9/2023</c:v>
                </c:pt>
                <c:pt idx="223">
                  <c:v>8/10/2023</c:v>
                </c:pt>
                <c:pt idx="224">
                  <c:v>8/11/2023</c:v>
                </c:pt>
                <c:pt idx="225">
                  <c:v>9/1/2023</c:v>
                </c:pt>
                <c:pt idx="226">
                  <c:v>9/2/2023</c:v>
                </c:pt>
                <c:pt idx="227">
                  <c:v>9/3/2023</c:v>
                </c:pt>
                <c:pt idx="228">
                  <c:v>9/4/2023</c:v>
                </c:pt>
                <c:pt idx="229">
                  <c:v>9/5/2023</c:v>
                </c:pt>
                <c:pt idx="230">
                  <c:v>9/6/2023</c:v>
                </c:pt>
                <c:pt idx="231">
                  <c:v>9/8/2023</c:v>
                </c:pt>
                <c:pt idx="232">
                  <c:v>9/11/2023</c:v>
                </c:pt>
                <c:pt idx="233">
                  <c:v>10/1/2023</c:v>
                </c:pt>
                <c:pt idx="234">
                  <c:v>10/3/2023</c:v>
                </c:pt>
                <c:pt idx="235">
                  <c:v>10/4/2023</c:v>
                </c:pt>
                <c:pt idx="236">
                  <c:v>10/5/2023</c:v>
                </c:pt>
                <c:pt idx="237">
                  <c:v>10/8/2023</c:v>
                </c:pt>
                <c:pt idx="238">
                  <c:v>10/9/2023</c:v>
                </c:pt>
                <c:pt idx="239">
                  <c:v>10/11/2023</c:v>
                </c:pt>
                <c:pt idx="240">
                  <c:v>11/1/2023</c:v>
                </c:pt>
                <c:pt idx="241">
                  <c:v>11/3/2023</c:v>
                </c:pt>
                <c:pt idx="242">
                  <c:v>11/4/2023</c:v>
                </c:pt>
                <c:pt idx="243">
                  <c:v>11/5/2023</c:v>
                </c:pt>
                <c:pt idx="244">
                  <c:v>11/7/2023</c:v>
                </c:pt>
                <c:pt idx="245">
                  <c:v>11/8/2023</c:v>
                </c:pt>
                <c:pt idx="246">
                  <c:v>11/9/2023</c:v>
                </c:pt>
                <c:pt idx="247">
                  <c:v>11/10/2023</c:v>
                </c:pt>
                <c:pt idx="248">
                  <c:v>11/11/2023</c:v>
                </c:pt>
                <c:pt idx="249">
                  <c:v>12/1/2023</c:v>
                </c:pt>
                <c:pt idx="250">
                  <c:v>12/2/2023</c:v>
                </c:pt>
                <c:pt idx="251">
                  <c:v>12/3/2023</c:v>
                </c:pt>
                <c:pt idx="252">
                  <c:v>12/7/2023</c:v>
                </c:pt>
                <c:pt idx="253">
                  <c:v>12/8/2023</c:v>
                </c:pt>
                <c:pt idx="254">
                  <c:v>12/9/2023</c:v>
                </c:pt>
                <c:pt idx="255">
                  <c:v>12/11/2023</c:v>
                </c:pt>
                <c:pt idx="256">
                  <c:v>15/12/2023</c:v>
                </c:pt>
              </c:strCache>
            </c:strRef>
          </c:cat>
          <c:val>
            <c:numRef>
              <c:f>Sheet4!$B$143:$B$400</c:f>
              <c:numCache>
                <c:formatCode>General</c:formatCode>
                <c:ptCount val="257"/>
                <c:pt idx="0">
                  <c:v>4</c:v>
                </c:pt>
                <c:pt idx="1">
                  <c:v>3</c:v>
                </c:pt>
                <c:pt idx="2">
                  <c:v>8</c:v>
                </c:pt>
                <c:pt idx="3">
                  <c:v>8</c:v>
                </c:pt>
                <c:pt idx="4">
                  <c:v>3</c:v>
                </c:pt>
                <c:pt idx="5">
                  <c:v>4</c:v>
                </c:pt>
                <c:pt idx="6">
                  <c:v>2</c:v>
                </c:pt>
                <c:pt idx="7">
                  <c:v>3</c:v>
                </c:pt>
                <c:pt idx="8">
                  <c:v>2</c:v>
                </c:pt>
                <c:pt idx="9">
                  <c:v>2</c:v>
                </c:pt>
                <c:pt idx="10">
                  <c:v>4</c:v>
                </c:pt>
                <c:pt idx="11">
                  <c:v>2</c:v>
                </c:pt>
                <c:pt idx="12">
                  <c:v>4</c:v>
                </c:pt>
                <c:pt idx="13">
                  <c:v>5</c:v>
                </c:pt>
                <c:pt idx="14">
                  <c:v>5</c:v>
                </c:pt>
                <c:pt idx="15">
                  <c:v>4</c:v>
                </c:pt>
                <c:pt idx="16">
                  <c:v>5</c:v>
                </c:pt>
                <c:pt idx="17">
                  <c:v>5</c:v>
                </c:pt>
                <c:pt idx="18">
                  <c:v>3</c:v>
                </c:pt>
                <c:pt idx="19">
                  <c:v>6</c:v>
                </c:pt>
                <c:pt idx="20">
                  <c:v>2</c:v>
                </c:pt>
                <c:pt idx="21">
                  <c:v>2</c:v>
                </c:pt>
                <c:pt idx="22">
                  <c:v>2</c:v>
                </c:pt>
                <c:pt idx="23">
                  <c:v>6</c:v>
                </c:pt>
                <c:pt idx="24">
                  <c:v>2</c:v>
                </c:pt>
                <c:pt idx="25">
                  <c:v>8</c:v>
                </c:pt>
                <c:pt idx="26">
                  <c:v>2</c:v>
                </c:pt>
                <c:pt idx="27">
                  <c:v>3</c:v>
                </c:pt>
                <c:pt idx="28">
                  <c:v>14</c:v>
                </c:pt>
                <c:pt idx="29">
                  <c:v>2</c:v>
                </c:pt>
                <c:pt idx="30">
                  <c:v>6</c:v>
                </c:pt>
                <c:pt idx="31">
                  <c:v>2</c:v>
                </c:pt>
                <c:pt idx="32">
                  <c:v>6</c:v>
                </c:pt>
                <c:pt idx="33">
                  <c:v>2</c:v>
                </c:pt>
                <c:pt idx="34">
                  <c:v>4</c:v>
                </c:pt>
                <c:pt idx="35">
                  <c:v>2</c:v>
                </c:pt>
                <c:pt idx="36">
                  <c:v>2</c:v>
                </c:pt>
                <c:pt idx="37">
                  <c:v>4</c:v>
                </c:pt>
                <c:pt idx="38">
                  <c:v>5</c:v>
                </c:pt>
                <c:pt idx="39">
                  <c:v>7</c:v>
                </c:pt>
                <c:pt idx="40">
                  <c:v>3</c:v>
                </c:pt>
                <c:pt idx="41">
                  <c:v>2</c:v>
                </c:pt>
                <c:pt idx="42">
                  <c:v>4</c:v>
                </c:pt>
                <c:pt idx="43">
                  <c:v>5</c:v>
                </c:pt>
                <c:pt idx="44">
                  <c:v>4</c:v>
                </c:pt>
                <c:pt idx="45">
                  <c:v>6</c:v>
                </c:pt>
                <c:pt idx="46">
                  <c:v>3</c:v>
                </c:pt>
                <c:pt idx="47">
                  <c:v>5</c:v>
                </c:pt>
                <c:pt idx="48">
                  <c:v>4</c:v>
                </c:pt>
                <c:pt idx="49">
                  <c:v>8</c:v>
                </c:pt>
                <c:pt idx="50">
                  <c:v>2</c:v>
                </c:pt>
                <c:pt idx="51">
                  <c:v>4</c:v>
                </c:pt>
                <c:pt idx="52">
                  <c:v>5</c:v>
                </c:pt>
                <c:pt idx="53">
                  <c:v>5</c:v>
                </c:pt>
                <c:pt idx="54">
                  <c:v>3</c:v>
                </c:pt>
                <c:pt idx="55">
                  <c:v>4</c:v>
                </c:pt>
                <c:pt idx="56">
                  <c:v>4</c:v>
                </c:pt>
                <c:pt idx="57">
                  <c:v>4</c:v>
                </c:pt>
                <c:pt idx="58">
                  <c:v>8</c:v>
                </c:pt>
                <c:pt idx="59">
                  <c:v>2</c:v>
                </c:pt>
                <c:pt idx="60">
                  <c:v>6</c:v>
                </c:pt>
                <c:pt idx="61">
                  <c:v>5</c:v>
                </c:pt>
                <c:pt idx="62">
                  <c:v>2</c:v>
                </c:pt>
                <c:pt idx="63">
                  <c:v>3</c:v>
                </c:pt>
                <c:pt idx="64">
                  <c:v>2</c:v>
                </c:pt>
                <c:pt idx="65">
                  <c:v>7</c:v>
                </c:pt>
                <c:pt idx="66">
                  <c:v>6</c:v>
                </c:pt>
                <c:pt idx="67">
                  <c:v>4</c:v>
                </c:pt>
                <c:pt idx="68">
                  <c:v>2</c:v>
                </c:pt>
                <c:pt idx="69">
                  <c:v>2</c:v>
                </c:pt>
                <c:pt idx="70">
                  <c:v>3</c:v>
                </c:pt>
                <c:pt idx="71">
                  <c:v>2</c:v>
                </c:pt>
                <c:pt idx="72">
                  <c:v>4</c:v>
                </c:pt>
                <c:pt idx="73">
                  <c:v>6</c:v>
                </c:pt>
                <c:pt idx="74">
                  <c:v>2</c:v>
                </c:pt>
                <c:pt idx="75">
                  <c:v>5</c:v>
                </c:pt>
                <c:pt idx="76">
                  <c:v>5</c:v>
                </c:pt>
                <c:pt idx="77">
                  <c:v>2</c:v>
                </c:pt>
                <c:pt idx="78">
                  <c:v>2</c:v>
                </c:pt>
                <c:pt idx="79">
                  <c:v>3</c:v>
                </c:pt>
                <c:pt idx="80">
                  <c:v>2</c:v>
                </c:pt>
                <c:pt idx="81">
                  <c:v>5</c:v>
                </c:pt>
                <c:pt idx="82">
                  <c:v>5</c:v>
                </c:pt>
                <c:pt idx="83">
                  <c:v>3</c:v>
                </c:pt>
                <c:pt idx="84">
                  <c:v>8</c:v>
                </c:pt>
                <c:pt idx="85">
                  <c:v>2</c:v>
                </c:pt>
                <c:pt idx="86">
                  <c:v>5</c:v>
                </c:pt>
                <c:pt idx="87">
                  <c:v>2</c:v>
                </c:pt>
                <c:pt idx="88">
                  <c:v>3</c:v>
                </c:pt>
                <c:pt idx="89">
                  <c:v>2</c:v>
                </c:pt>
                <c:pt idx="90">
                  <c:v>6</c:v>
                </c:pt>
                <c:pt idx="91">
                  <c:v>3</c:v>
                </c:pt>
                <c:pt idx="92">
                  <c:v>5</c:v>
                </c:pt>
                <c:pt idx="93">
                  <c:v>4</c:v>
                </c:pt>
                <c:pt idx="94">
                  <c:v>2</c:v>
                </c:pt>
                <c:pt idx="95">
                  <c:v>3</c:v>
                </c:pt>
                <c:pt idx="96">
                  <c:v>14</c:v>
                </c:pt>
                <c:pt idx="97">
                  <c:v>2</c:v>
                </c:pt>
                <c:pt idx="98">
                  <c:v>5</c:v>
                </c:pt>
                <c:pt idx="99">
                  <c:v>2</c:v>
                </c:pt>
                <c:pt idx="100">
                  <c:v>3</c:v>
                </c:pt>
                <c:pt idx="101">
                  <c:v>6</c:v>
                </c:pt>
                <c:pt idx="102">
                  <c:v>2</c:v>
                </c:pt>
                <c:pt idx="103">
                  <c:v>7</c:v>
                </c:pt>
                <c:pt idx="104">
                  <c:v>8</c:v>
                </c:pt>
                <c:pt idx="105">
                  <c:v>2</c:v>
                </c:pt>
                <c:pt idx="106">
                  <c:v>2</c:v>
                </c:pt>
                <c:pt idx="107">
                  <c:v>3</c:v>
                </c:pt>
                <c:pt idx="108">
                  <c:v>4</c:v>
                </c:pt>
                <c:pt idx="109">
                  <c:v>10</c:v>
                </c:pt>
                <c:pt idx="110">
                  <c:v>5</c:v>
                </c:pt>
                <c:pt idx="111">
                  <c:v>5</c:v>
                </c:pt>
                <c:pt idx="112">
                  <c:v>2</c:v>
                </c:pt>
                <c:pt idx="113">
                  <c:v>2</c:v>
                </c:pt>
                <c:pt idx="114">
                  <c:v>4</c:v>
                </c:pt>
                <c:pt idx="115">
                  <c:v>5</c:v>
                </c:pt>
                <c:pt idx="116">
                  <c:v>5</c:v>
                </c:pt>
                <c:pt idx="117">
                  <c:v>2</c:v>
                </c:pt>
                <c:pt idx="118">
                  <c:v>4</c:v>
                </c:pt>
                <c:pt idx="119">
                  <c:v>9</c:v>
                </c:pt>
                <c:pt idx="120">
                  <c:v>2</c:v>
                </c:pt>
                <c:pt idx="121">
                  <c:v>2</c:v>
                </c:pt>
                <c:pt idx="122">
                  <c:v>7</c:v>
                </c:pt>
                <c:pt idx="123">
                  <c:v>7</c:v>
                </c:pt>
                <c:pt idx="124">
                  <c:v>5</c:v>
                </c:pt>
                <c:pt idx="125">
                  <c:v>4</c:v>
                </c:pt>
                <c:pt idx="126">
                  <c:v>10</c:v>
                </c:pt>
                <c:pt idx="127">
                  <c:v>2</c:v>
                </c:pt>
                <c:pt idx="128">
                  <c:v>5</c:v>
                </c:pt>
                <c:pt idx="129">
                  <c:v>10</c:v>
                </c:pt>
                <c:pt idx="130">
                  <c:v>2</c:v>
                </c:pt>
                <c:pt idx="131">
                  <c:v>3</c:v>
                </c:pt>
                <c:pt idx="132">
                  <c:v>4</c:v>
                </c:pt>
                <c:pt idx="133">
                  <c:v>9</c:v>
                </c:pt>
                <c:pt idx="134">
                  <c:v>2</c:v>
                </c:pt>
                <c:pt idx="135">
                  <c:v>2</c:v>
                </c:pt>
                <c:pt idx="136">
                  <c:v>7</c:v>
                </c:pt>
                <c:pt idx="137">
                  <c:v>2</c:v>
                </c:pt>
                <c:pt idx="138">
                  <c:v>9</c:v>
                </c:pt>
                <c:pt idx="139">
                  <c:v>5</c:v>
                </c:pt>
                <c:pt idx="140">
                  <c:v>2</c:v>
                </c:pt>
                <c:pt idx="141">
                  <c:v>3</c:v>
                </c:pt>
                <c:pt idx="142">
                  <c:v>4</c:v>
                </c:pt>
                <c:pt idx="143">
                  <c:v>2</c:v>
                </c:pt>
                <c:pt idx="144">
                  <c:v>7</c:v>
                </c:pt>
                <c:pt idx="145">
                  <c:v>2</c:v>
                </c:pt>
                <c:pt idx="146">
                  <c:v>2</c:v>
                </c:pt>
                <c:pt idx="147">
                  <c:v>5</c:v>
                </c:pt>
                <c:pt idx="148">
                  <c:v>3</c:v>
                </c:pt>
                <c:pt idx="149">
                  <c:v>2</c:v>
                </c:pt>
                <c:pt idx="150">
                  <c:v>9</c:v>
                </c:pt>
                <c:pt idx="151">
                  <c:v>7</c:v>
                </c:pt>
                <c:pt idx="152">
                  <c:v>4</c:v>
                </c:pt>
                <c:pt idx="153">
                  <c:v>4</c:v>
                </c:pt>
                <c:pt idx="154">
                  <c:v>2</c:v>
                </c:pt>
                <c:pt idx="155">
                  <c:v>3</c:v>
                </c:pt>
                <c:pt idx="156">
                  <c:v>10</c:v>
                </c:pt>
                <c:pt idx="157">
                  <c:v>4</c:v>
                </c:pt>
                <c:pt idx="158">
                  <c:v>4</c:v>
                </c:pt>
                <c:pt idx="159">
                  <c:v>10</c:v>
                </c:pt>
                <c:pt idx="160">
                  <c:v>4</c:v>
                </c:pt>
                <c:pt idx="161">
                  <c:v>2</c:v>
                </c:pt>
                <c:pt idx="162">
                  <c:v>2</c:v>
                </c:pt>
                <c:pt idx="163">
                  <c:v>2</c:v>
                </c:pt>
                <c:pt idx="164">
                  <c:v>5</c:v>
                </c:pt>
                <c:pt idx="165">
                  <c:v>6</c:v>
                </c:pt>
                <c:pt idx="166">
                  <c:v>9</c:v>
                </c:pt>
                <c:pt idx="167">
                  <c:v>2</c:v>
                </c:pt>
                <c:pt idx="168">
                  <c:v>12</c:v>
                </c:pt>
                <c:pt idx="169">
                  <c:v>5</c:v>
                </c:pt>
                <c:pt idx="170">
                  <c:v>3</c:v>
                </c:pt>
                <c:pt idx="171">
                  <c:v>2</c:v>
                </c:pt>
                <c:pt idx="172">
                  <c:v>6</c:v>
                </c:pt>
                <c:pt idx="173">
                  <c:v>2</c:v>
                </c:pt>
                <c:pt idx="174">
                  <c:v>4</c:v>
                </c:pt>
                <c:pt idx="175">
                  <c:v>2</c:v>
                </c:pt>
                <c:pt idx="176">
                  <c:v>4</c:v>
                </c:pt>
                <c:pt idx="177">
                  <c:v>6</c:v>
                </c:pt>
                <c:pt idx="178">
                  <c:v>2</c:v>
                </c:pt>
                <c:pt idx="179">
                  <c:v>7</c:v>
                </c:pt>
                <c:pt idx="180">
                  <c:v>2</c:v>
                </c:pt>
                <c:pt idx="181">
                  <c:v>5</c:v>
                </c:pt>
                <c:pt idx="182">
                  <c:v>3</c:v>
                </c:pt>
                <c:pt idx="183">
                  <c:v>3</c:v>
                </c:pt>
                <c:pt idx="184">
                  <c:v>3</c:v>
                </c:pt>
                <c:pt idx="185">
                  <c:v>6</c:v>
                </c:pt>
                <c:pt idx="186">
                  <c:v>5</c:v>
                </c:pt>
                <c:pt idx="187">
                  <c:v>6</c:v>
                </c:pt>
                <c:pt idx="188">
                  <c:v>2</c:v>
                </c:pt>
                <c:pt idx="189">
                  <c:v>2</c:v>
                </c:pt>
                <c:pt idx="190">
                  <c:v>4</c:v>
                </c:pt>
                <c:pt idx="191">
                  <c:v>6</c:v>
                </c:pt>
                <c:pt idx="192">
                  <c:v>2</c:v>
                </c:pt>
                <c:pt idx="193">
                  <c:v>2</c:v>
                </c:pt>
                <c:pt idx="194">
                  <c:v>6</c:v>
                </c:pt>
                <c:pt idx="195">
                  <c:v>2</c:v>
                </c:pt>
                <c:pt idx="196">
                  <c:v>2</c:v>
                </c:pt>
                <c:pt idx="197">
                  <c:v>4</c:v>
                </c:pt>
                <c:pt idx="198">
                  <c:v>8</c:v>
                </c:pt>
                <c:pt idx="199">
                  <c:v>3</c:v>
                </c:pt>
                <c:pt idx="200">
                  <c:v>5</c:v>
                </c:pt>
                <c:pt idx="201">
                  <c:v>4</c:v>
                </c:pt>
                <c:pt idx="202">
                  <c:v>8</c:v>
                </c:pt>
                <c:pt idx="203">
                  <c:v>7</c:v>
                </c:pt>
                <c:pt idx="204">
                  <c:v>2</c:v>
                </c:pt>
                <c:pt idx="205">
                  <c:v>2</c:v>
                </c:pt>
                <c:pt idx="206">
                  <c:v>5</c:v>
                </c:pt>
                <c:pt idx="207">
                  <c:v>5</c:v>
                </c:pt>
                <c:pt idx="208">
                  <c:v>4</c:v>
                </c:pt>
                <c:pt idx="209">
                  <c:v>2</c:v>
                </c:pt>
                <c:pt idx="210">
                  <c:v>6</c:v>
                </c:pt>
                <c:pt idx="211">
                  <c:v>2</c:v>
                </c:pt>
                <c:pt idx="212">
                  <c:v>2</c:v>
                </c:pt>
                <c:pt idx="213">
                  <c:v>6</c:v>
                </c:pt>
                <c:pt idx="214">
                  <c:v>5</c:v>
                </c:pt>
                <c:pt idx="215">
                  <c:v>6</c:v>
                </c:pt>
                <c:pt idx="216">
                  <c:v>2</c:v>
                </c:pt>
                <c:pt idx="217">
                  <c:v>3</c:v>
                </c:pt>
                <c:pt idx="218">
                  <c:v>4</c:v>
                </c:pt>
                <c:pt idx="219">
                  <c:v>5</c:v>
                </c:pt>
                <c:pt idx="220">
                  <c:v>2</c:v>
                </c:pt>
                <c:pt idx="221">
                  <c:v>5</c:v>
                </c:pt>
                <c:pt idx="222">
                  <c:v>7</c:v>
                </c:pt>
                <c:pt idx="223">
                  <c:v>2</c:v>
                </c:pt>
                <c:pt idx="224">
                  <c:v>3</c:v>
                </c:pt>
                <c:pt idx="225">
                  <c:v>6</c:v>
                </c:pt>
                <c:pt idx="226">
                  <c:v>4</c:v>
                </c:pt>
                <c:pt idx="227">
                  <c:v>6</c:v>
                </c:pt>
                <c:pt idx="228">
                  <c:v>4</c:v>
                </c:pt>
                <c:pt idx="229">
                  <c:v>2</c:v>
                </c:pt>
                <c:pt idx="230">
                  <c:v>2</c:v>
                </c:pt>
                <c:pt idx="231">
                  <c:v>2</c:v>
                </c:pt>
                <c:pt idx="232">
                  <c:v>5</c:v>
                </c:pt>
                <c:pt idx="233">
                  <c:v>2</c:v>
                </c:pt>
                <c:pt idx="234">
                  <c:v>2</c:v>
                </c:pt>
                <c:pt idx="235">
                  <c:v>5</c:v>
                </c:pt>
                <c:pt idx="236">
                  <c:v>2</c:v>
                </c:pt>
                <c:pt idx="237">
                  <c:v>3</c:v>
                </c:pt>
                <c:pt idx="238">
                  <c:v>8</c:v>
                </c:pt>
                <c:pt idx="239">
                  <c:v>6</c:v>
                </c:pt>
                <c:pt idx="240">
                  <c:v>2</c:v>
                </c:pt>
                <c:pt idx="241">
                  <c:v>4</c:v>
                </c:pt>
                <c:pt idx="242">
                  <c:v>3</c:v>
                </c:pt>
                <c:pt idx="243">
                  <c:v>2</c:v>
                </c:pt>
                <c:pt idx="244">
                  <c:v>6</c:v>
                </c:pt>
                <c:pt idx="245">
                  <c:v>5</c:v>
                </c:pt>
                <c:pt idx="246">
                  <c:v>2</c:v>
                </c:pt>
                <c:pt idx="247">
                  <c:v>2</c:v>
                </c:pt>
                <c:pt idx="248">
                  <c:v>9</c:v>
                </c:pt>
                <c:pt idx="249">
                  <c:v>7</c:v>
                </c:pt>
                <c:pt idx="250">
                  <c:v>2</c:v>
                </c:pt>
                <c:pt idx="251">
                  <c:v>3</c:v>
                </c:pt>
                <c:pt idx="252">
                  <c:v>6</c:v>
                </c:pt>
                <c:pt idx="253">
                  <c:v>6</c:v>
                </c:pt>
                <c:pt idx="254">
                  <c:v>5</c:v>
                </c:pt>
                <c:pt idx="255">
                  <c:v>7</c:v>
                </c:pt>
              </c:numCache>
            </c:numRef>
          </c:val>
        </c:ser>
        <c:dLbls>
          <c:showLegendKey val="0"/>
          <c:showVal val="0"/>
          <c:showCatName val="0"/>
          <c:showSerName val="0"/>
          <c:showPercent val="0"/>
          <c:showBubbleSize val="0"/>
        </c:dLbls>
        <c:gapWidth val="150"/>
        <c:shape val="cylinder"/>
        <c:axId val="208581760"/>
        <c:axId val="208583296"/>
        <c:axId val="0"/>
      </c:bar3DChart>
      <c:catAx>
        <c:axId val="208581760"/>
        <c:scaling>
          <c:orientation val="minMax"/>
        </c:scaling>
        <c:delete val="0"/>
        <c:axPos val="b"/>
        <c:majorTickMark val="out"/>
        <c:minorTickMark val="none"/>
        <c:tickLblPos val="nextTo"/>
        <c:crossAx val="208583296"/>
        <c:crosses val="autoZero"/>
        <c:auto val="1"/>
        <c:lblAlgn val="ctr"/>
        <c:lblOffset val="100"/>
        <c:noMultiLvlLbl val="0"/>
      </c:catAx>
      <c:valAx>
        <c:axId val="208583296"/>
        <c:scaling>
          <c:orientation val="minMax"/>
        </c:scaling>
        <c:delete val="0"/>
        <c:axPos val="l"/>
        <c:majorGridlines/>
        <c:numFmt formatCode="General" sourceLinked="1"/>
        <c:majorTickMark val="out"/>
        <c:minorTickMark val="none"/>
        <c:tickLblPos val="nextTo"/>
        <c:crossAx val="20858176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[xlx.xlsx]Sheet4!PivotTable4</c:name>
    <c:fmtId val="2"/>
  </c:pivotSource>
  <c:chart>
    <c:title>
      <c:tx>
        <c:rich>
          <a:bodyPr/>
          <a:lstStyle/>
          <a:p>
            <a:pPr>
              <a:defRPr/>
            </a:pPr>
            <a:r>
              <a:rPr lang="en-US"/>
              <a:t>Count</a:t>
            </a:r>
            <a:r>
              <a:rPr lang="en-US" baseline="0"/>
              <a:t> of Discount </a:t>
            </a:r>
            <a:endParaRPr lang="en-US"/>
          </a:p>
        </c:rich>
      </c:tx>
      <c:layout>
        <c:manualLayout>
          <c:xMode val="edge"/>
          <c:yMode val="edge"/>
          <c:x val="0.19083333333333333"/>
          <c:y val="0"/>
        </c:manualLayout>
      </c:layout>
      <c:overlay val="0"/>
    </c:title>
    <c:autoTitleDeleted val="0"/>
    <c:pivotFmts>
      <c:pivotFmt>
        <c:idx val="0"/>
        <c:spPr>
          <a:solidFill>
            <a:schemeClr val="accent6">
              <a:lumMod val="50000"/>
            </a:schemeClr>
          </a:solidFill>
        </c:spPr>
        <c:marker>
          <c:symbol val="none"/>
        </c:marker>
      </c:pivotFmt>
      <c:pivotFmt>
        <c:idx val="1"/>
        <c:spPr>
          <a:solidFill>
            <a:schemeClr val="accent6">
              <a:lumMod val="50000"/>
            </a:schemeClr>
          </a:solidFill>
        </c:spPr>
        <c:marker>
          <c:symbol val="none"/>
        </c:marker>
      </c:pivotFmt>
      <c:pivotFmt>
        <c:idx val="2"/>
        <c:spPr>
          <a:solidFill>
            <a:schemeClr val="accent5">
              <a:lumMod val="50000"/>
            </a:schemeClr>
          </a:solidFill>
        </c:spPr>
        <c:marker>
          <c:symbol val="none"/>
        </c:marker>
      </c:pivotFmt>
    </c:pivotFmts>
    <c:plotArea>
      <c:layout>
        <c:manualLayout>
          <c:layoutTarget val="inner"/>
          <c:xMode val="edge"/>
          <c:yMode val="edge"/>
          <c:x val="0.2117169728783902"/>
          <c:y val="0.1722051320148173"/>
          <c:w val="0.73735710119568387"/>
          <c:h val="0.56888306583688175"/>
        </c:manualLayout>
      </c:layout>
      <c:barChart>
        <c:barDir val="col"/>
        <c:grouping val="clustered"/>
        <c:varyColors val="0"/>
        <c:ser>
          <c:idx val="0"/>
          <c:order val="0"/>
          <c:tx>
            <c:strRef>
              <c:f>Sheet4!$B$3</c:f>
              <c:strCache>
                <c:ptCount val="1"/>
                <c:pt idx="0">
                  <c:v>Total</c:v>
                </c:pt>
              </c:strCache>
            </c:strRef>
          </c:tx>
          <c:spPr>
            <a:solidFill>
              <a:schemeClr val="accent5">
                <a:lumMod val="50000"/>
              </a:schemeClr>
            </a:solidFill>
          </c:spPr>
          <c:invertIfNegative val="0"/>
          <c:cat>
            <c:strRef>
              <c:f>Sheet4!$A$4:$A$16</c:f>
              <c:strCache>
                <c:ptCount val="12"/>
                <c:pt idx="0">
                  <c:v>85</c:v>
                </c:pt>
                <c:pt idx="1">
                  <c:v>90</c:v>
                </c:pt>
                <c:pt idx="2">
                  <c:v>125</c:v>
                </c:pt>
                <c:pt idx="3">
                  <c:v>130</c:v>
                </c:pt>
                <c:pt idx="4">
                  <c:v>135</c:v>
                </c:pt>
                <c:pt idx="5">
                  <c:v>160</c:v>
                </c:pt>
                <c:pt idx="6">
                  <c:v>190</c:v>
                </c:pt>
                <c:pt idx="7">
                  <c:v>200</c:v>
                </c:pt>
                <c:pt idx="8">
                  <c:v>210</c:v>
                </c:pt>
                <c:pt idx="9">
                  <c:v>215</c:v>
                </c:pt>
                <c:pt idx="10">
                  <c:v>220</c:v>
                </c:pt>
                <c:pt idx="11">
                  <c:v>other</c:v>
                </c:pt>
              </c:strCache>
            </c:strRef>
          </c:cat>
          <c:val>
            <c:numRef>
              <c:f>Sheet4!$B$4:$B$16</c:f>
              <c:numCache>
                <c:formatCode>0.00%</c:formatCode>
                <c:ptCount val="12"/>
                <c:pt idx="0">
                  <c:v>5.7248384118190214E-2</c:v>
                </c:pt>
                <c:pt idx="1">
                  <c:v>5.5401662049861496E-3</c:v>
                </c:pt>
                <c:pt idx="2">
                  <c:v>6.9252077562326875E-2</c:v>
                </c:pt>
                <c:pt idx="3">
                  <c:v>0.39150507848568789</c:v>
                </c:pt>
                <c:pt idx="4">
                  <c:v>0.22253000923361035</c:v>
                </c:pt>
                <c:pt idx="5">
                  <c:v>2.5854108956602031E-2</c:v>
                </c:pt>
                <c:pt idx="6">
                  <c:v>0.13019390581717452</c:v>
                </c:pt>
                <c:pt idx="7">
                  <c:v>3.3240997229916899E-2</c:v>
                </c:pt>
                <c:pt idx="8">
                  <c:v>2.8624192059095107E-2</c:v>
                </c:pt>
                <c:pt idx="9">
                  <c:v>1.9390581717451522E-2</c:v>
                </c:pt>
                <c:pt idx="10">
                  <c:v>1.662049861495845E-2</c:v>
                </c:pt>
                <c:pt idx="11">
                  <c:v>0</c:v>
                </c:pt>
              </c:numCache>
            </c:numRef>
          </c:val>
        </c:ser>
        <c:dLbls>
          <c:showLegendKey val="0"/>
          <c:showVal val="0"/>
          <c:showCatName val="0"/>
          <c:showSerName val="0"/>
          <c:showPercent val="0"/>
          <c:showBubbleSize val="0"/>
        </c:dLbls>
        <c:gapWidth val="150"/>
        <c:axId val="208330752"/>
        <c:axId val="208332288"/>
      </c:barChart>
      <c:catAx>
        <c:axId val="208330752"/>
        <c:scaling>
          <c:orientation val="minMax"/>
        </c:scaling>
        <c:delete val="0"/>
        <c:axPos val="b"/>
        <c:majorTickMark val="out"/>
        <c:minorTickMark val="none"/>
        <c:tickLblPos val="nextTo"/>
        <c:spPr>
          <a:solidFill>
            <a:sysClr val="window" lastClr="FFFFFF"/>
          </a:solidFill>
        </c:spPr>
        <c:txPr>
          <a:bodyPr rot="-5400000" vert="horz"/>
          <a:lstStyle/>
          <a:p>
            <a:pPr>
              <a:defRPr b="1"/>
            </a:pPr>
            <a:endParaRPr lang="en-US"/>
          </a:p>
        </c:txPr>
        <c:crossAx val="208332288"/>
        <c:crosses val="autoZero"/>
        <c:auto val="1"/>
        <c:lblAlgn val="ctr"/>
        <c:lblOffset val="100"/>
        <c:noMultiLvlLbl val="0"/>
      </c:catAx>
      <c:valAx>
        <c:axId val="208332288"/>
        <c:scaling>
          <c:orientation val="minMax"/>
        </c:scaling>
        <c:delete val="0"/>
        <c:axPos val="l"/>
        <c:majorGridlines>
          <c:spPr>
            <a:ln>
              <a:noFill/>
            </a:ln>
            <a:effectLst/>
          </c:spPr>
        </c:majorGridlines>
        <c:numFmt formatCode="0.00%" sourceLinked="1"/>
        <c:majorTickMark val="out"/>
        <c:minorTickMark val="none"/>
        <c:tickLblPos val="nextTo"/>
        <c:txPr>
          <a:bodyPr/>
          <a:lstStyle/>
          <a:p>
            <a:pPr>
              <a:defRPr b="1"/>
            </a:pPr>
            <a:endParaRPr lang="en-US"/>
          </a:p>
        </c:txPr>
        <c:crossAx val="208330752"/>
        <c:crosses val="autoZero"/>
        <c:crossBetween val="between"/>
      </c:valAx>
      <c:spPr>
        <a:noFill/>
      </c:spPr>
    </c:plotArea>
    <c:plotVisOnly val="1"/>
    <c:dispBlanksAs val="gap"/>
    <c:showDLblsOverMax val="0"/>
  </c:chart>
  <c:spPr>
    <a:solidFill>
      <a:sysClr val="window" lastClr="FFFFFF"/>
    </a:solidFill>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[xlx.xlsx]Sheet4!PivotTable6</c:name>
    <c:fmtId val="2"/>
  </c:pivotSource>
  <c:chart>
    <c:autoTitleDeleted val="1"/>
    <c:pivotFmts>
      <c:pivotFmt>
        <c:idx val="0"/>
        <c:marker>
          <c:symbol val="none"/>
        </c:marker>
      </c:pivotFmt>
      <c:pivotFmt>
        <c:idx val="1"/>
        <c:spPr>
          <a:ln>
            <a:solidFill>
              <a:schemeClr val="accent2">
                <a:lumMod val="75000"/>
              </a:schemeClr>
            </a:solidFill>
          </a:ln>
        </c:spPr>
      </c:pivotFmt>
      <c:pivotFmt>
        <c:idx val="2"/>
      </c:pivotFmt>
      <c:pivotFmt>
        <c:idx val="3"/>
        <c:spPr>
          <a:ln>
            <a:solidFill>
              <a:schemeClr val="accent2">
                <a:lumMod val="75000"/>
              </a:schemeClr>
            </a:solidFill>
          </a:ln>
        </c:spPr>
      </c:pivotFmt>
      <c:pivotFmt>
        <c:idx val="4"/>
        <c:marker>
          <c:symbol val="none"/>
        </c:marker>
      </c:pivotFmt>
      <c:pivotFmt>
        <c:idx val="5"/>
        <c:spPr>
          <a:ln>
            <a:solidFill>
              <a:schemeClr val="accent2">
                <a:lumMod val="75000"/>
              </a:schemeClr>
            </a:solidFill>
          </a:ln>
        </c:spPr>
      </c:pivotFmt>
      <c:pivotFmt>
        <c:idx val="6"/>
        <c:spPr>
          <a:ln>
            <a:solidFill>
              <a:schemeClr val="accent2">
                <a:lumMod val="75000"/>
              </a:schemeClr>
            </a:solidFill>
          </a:ln>
        </c:spPr>
      </c:pivotFmt>
      <c:pivotFmt>
        <c:idx val="7"/>
        <c:spPr>
          <a:ln>
            <a:solidFill>
              <a:schemeClr val="tx2"/>
            </a:solidFill>
          </a:ln>
        </c:spPr>
        <c:marker>
          <c:symbol val="none"/>
        </c:marker>
      </c:pivotFmt>
      <c:pivotFmt>
        <c:idx val="8"/>
        <c:spPr>
          <a:ln>
            <a:solidFill>
              <a:schemeClr val="tx2"/>
            </a:solidFill>
          </a:ln>
        </c:spPr>
      </c:pivotFmt>
      <c:pivotFmt>
        <c:idx val="9"/>
        <c:spPr>
          <a:ln>
            <a:solidFill>
              <a:schemeClr val="tx2"/>
            </a:solidFill>
          </a:ln>
        </c:spPr>
      </c:pivotFmt>
    </c:pivotFmts>
    <c:plotArea>
      <c:layout>
        <c:manualLayout>
          <c:layoutTarget val="inner"/>
          <c:xMode val="edge"/>
          <c:yMode val="edge"/>
          <c:x val="0.19409105663912152"/>
          <c:y val="5.2417925791659339E-2"/>
          <c:w val="0.80590894336087848"/>
          <c:h val="0.67051145048493788"/>
        </c:manualLayout>
      </c:layout>
      <c:lineChart>
        <c:grouping val="standard"/>
        <c:varyColors val="0"/>
        <c:ser>
          <c:idx val="0"/>
          <c:order val="0"/>
          <c:tx>
            <c:strRef>
              <c:f>Sheet4!$B$42</c:f>
              <c:strCache>
                <c:ptCount val="1"/>
                <c:pt idx="0">
                  <c:v>Total</c:v>
                </c:pt>
              </c:strCache>
            </c:strRef>
          </c:tx>
          <c:spPr>
            <a:ln>
              <a:solidFill>
                <a:schemeClr val="tx2"/>
              </a:solidFill>
            </a:ln>
          </c:spPr>
          <c:marker>
            <c:symbol val="none"/>
          </c:marker>
          <c:dPt>
            <c:idx val="0"/>
            <c:bubble3D val="0"/>
          </c:dPt>
          <c:dPt>
            <c:idx val="1"/>
            <c:bubble3D val="0"/>
          </c:dPt>
          <c:dPt>
            <c:idx val="2"/>
            <c:bubble3D val="0"/>
          </c:dPt>
          <c:cat>
            <c:strRef>
              <c:f>Sheet4!$A$43:$A$46</c:f>
              <c:strCache>
                <c:ptCount val="3"/>
                <c:pt idx="0">
                  <c:v>CAS Calculator</c:v>
                </c:pt>
                <c:pt idx="1">
                  <c:v>Graphing Calculator</c:v>
                </c:pt>
                <c:pt idx="2">
                  <c:v>Other</c:v>
                </c:pt>
              </c:strCache>
            </c:strRef>
          </c:cat>
          <c:val>
            <c:numRef>
              <c:f>Sheet4!$B$43:$B$46</c:f>
              <c:numCache>
                <c:formatCode>General</c:formatCode>
                <c:ptCount val="3"/>
                <c:pt idx="0">
                  <c:v>24605</c:v>
                </c:pt>
                <c:pt idx="1">
                  <c:v>194875</c:v>
                </c:pt>
              </c:numCache>
            </c:numRef>
          </c:val>
          <c:smooth val="0"/>
        </c:ser>
        <c:dLbls>
          <c:showLegendKey val="0"/>
          <c:showVal val="0"/>
          <c:showCatName val="0"/>
          <c:showSerName val="0"/>
          <c:showPercent val="0"/>
          <c:showBubbleSize val="0"/>
        </c:dLbls>
        <c:marker val="1"/>
        <c:smooth val="0"/>
        <c:axId val="208370304"/>
        <c:axId val="208372096"/>
      </c:lineChart>
      <c:catAx>
        <c:axId val="208370304"/>
        <c:scaling>
          <c:orientation val="minMax"/>
        </c:scaling>
        <c:delete val="0"/>
        <c:axPos val="b"/>
        <c:majorTickMark val="out"/>
        <c:minorTickMark val="none"/>
        <c:tickLblPos val="nextTo"/>
        <c:txPr>
          <a:bodyPr/>
          <a:lstStyle/>
          <a:p>
            <a:pPr>
              <a:defRPr b="1"/>
            </a:pPr>
            <a:endParaRPr lang="en-US"/>
          </a:p>
        </c:txPr>
        <c:crossAx val="208372096"/>
        <c:crosses val="autoZero"/>
        <c:auto val="1"/>
        <c:lblAlgn val="ctr"/>
        <c:lblOffset val="100"/>
        <c:noMultiLvlLbl val="0"/>
      </c:catAx>
      <c:valAx>
        <c:axId val="208372096"/>
        <c:scaling>
          <c:orientation val="minMax"/>
        </c:scaling>
        <c:delete val="0"/>
        <c:axPos val="l"/>
        <c:numFmt formatCode="General" sourceLinked="1"/>
        <c:majorTickMark val="out"/>
        <c:minorTickMark val="none"/>
        <c:tickLblPos val="nextTo"/>
        <c:txPr>
          <a:bodyPr/>
          <a:lstStyle/>
          <a:p>
            <a:pPr>
              <a:defRPr b="1"/>
            </a:pPr>
            <a:endParaRPr lang="en-US"/>
          </a:p>
        </c:txPr>
        <c:crossAx val="208370304"/>
        <c:crosses val="autoZero"/>
        <c:crossBetween val="between"/>
      </c:valAx>
      <c:spPr>
        <a:solidFill>
          <a:schemeClr val="bg1"/>
        </a:solidFill>
      </c:spPr>
    </c:plotArea>
    <c:plotVisOnly val="1"/>
    <c:dispBlanksAs val="gap"/>
    <c:showDLblsOverMax val="0"/>
  </c:chart>
  <c:spPr>
    <a:solidFill>
      <a:schemeClr val="bg1"/>
    </a:solidFill>
    <a:ln>
      <a:solidFill>
        <a:sysClr val="windowText" lastClr="0000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[xlx.xlsx]Sheet4!PivotTable7</c:name>
    <c:fmtId val="8"/>
  </c:pivotSource>
  <c:chart>
    <c:title>
      <c:tx>
        <c:rich>
          <a:bodyPr/>
          <a:lstStyle/>
          <a:p>
            <a:pPr>
              <a:defRPr/>
            </a:pPr>
            <a:r>
              <a:rPr lang="en-US"/>
              <a:t>Products</a:t>
            </a:r>
            <a:r>
              <a:rPr lang="en-US" baseline="0"/>
              <a:t> </a:t>
            </a:r>
            <a:endParaRPr lang="en-US"/>
          </a:p>
        </c:rich>
      </c:tx>
      <c:layout/>
      <c:overlay val="0"/>
    </c:title>
    <c:autoTitleDeleted val="0"/>
    <c:pivotFmts>
      <c:pivotFmt>
        <c:idx val="0"/>
        <c:spPr>
          <a:solidFill>
            <a:schemeClr val="accent3">
              <a:lumMod val="50000"/>
            </a:schemeClr>
          </a:solidFill>
        </c:spPr>
        <c:marker>
          <c:symbol val="none"/>
        </c:marker>
      </c:pivotFmt>
      <c:pivotFmt>
        <c:idx val="1"/>
        <c:spPr>
          <a:solidFill>
            <a:schemeClr val="accent3">
              <a:lumMod val="50000"/>
            </a:schemeClr>
          </a:solidFill>
        </c:spPr>
        <c:marker>
          <c:symbol val="none"/>
        </c:marker>
      </c:pivotFmt>
      <c:pivotFmt>
        <c:idx val="2"/>
        <c:spPr>
          <a:solidFill>
            <a:srgbClr val="002060"/>
          </a:solidFill>
        </c:spPr>
        <c:marker>
          <c:symbol val="none"/>
        </c:marker>
      </c:pivotFmt>
      <c:pivotFmt>
        <c:idx val="3"/>
        <c:spPr>
          <a:solidFill>
            <a:srgbClr val="002060"/>
          </a:solidFill>
          <a:ln>
            <a:solidFill>
              <a:schemeClr val="tx2"/>
            </a:solidFill>
          </a:ln>
        </c:spPr>
      </c:pivotFmt>
      <c:pivotFmt>
        <c:idx val="4"/>
      </c:pivotFmt>
      <c:pivotFmt>
        <c:idx val="5"/>
      </c:pivotFmt>
      <c:pivotFmt>
        <c:idx val="6"/>
      </c:pivotFmt>
      <c:pivotFmt>
        <c:idx val="7"/>
      </c:pivotFmt>
      <c:pivotFmt>
        <c:idx val="8"/>
      </c:pivotFmt>
      <c:pivotFmt>
        <c:idx val="9"/>
      </c:pivotFmt>
    </c:pivotFmts>
    <c:plotArea>
      <c:layout>
        <c:manualLayout>
          <c:layoutTarget val="inner"/>
          <c:xMode val="edge"/>
          <c:yMode val="edge"/>
          <c:x val="0.23117956970707129"/>
          <c:y val="0.12488444152814233"/>
          <c:w val="0.66953426442132691"/>
          <c:h val="0.75913568095654704"/>
        </c:manualLayout>
      </c:layout>
      <c:barChart>
        <c:barDir val="bar"/>
        <c:grouping val="clustered"/>
        <c:varyColors val="0"/>
        <c:ser>
          <c:idx val="0"/>
          <c:order val="0"/>
          <c:tx>
            <c:strRef>
              <c:f>Sheet4!$B$111</c:f>
              <c:strCache>
                <c:ptCount val="1"/>
                <c:pt idx="0">
                  <c:v>Total</c:v>
                </c:pt>
              </c:strCache>
            </c:strRef>
          </c:tx>
          <c:spPr>
            <a:solidFill>
              <a:srgbClr val="002060"/>
            </a:solidFill>
          </c:spPr>
          <c:invertIfNegative val="0"/>
          <c:dPt>
            <c:idx val="3"/>
            <c:invertIfNegative val="0"/>
            <c:bubble3D val="0"/>
            <c:spPr>
              <a:solidFill>
                <a:srgbClr val="002060"/>
              </a:solidFill>
              <a:ln>
                <a:solidFill>
                  <a:schemeClr val="tx2"/>
                </a:solidFill>
              </a:ln>
            </c:spPr>
          </c:dPt>
          <c:cat>
            <c:strRef>
              <c:f>Sheet4!$A$112:$A$119</c:f>
              <c:strCache>
                <c:ptCount val="7"/>
                <c:pt idx="0">
                  <c:v>TI-83 plus</c:v>
                </c:pt>
                <c:pt idx="1">
                  <c:v>ti-84 plus</c:v>
                </c:pt>
                <c:pt idx="2">
                  <c:v>Ti-84 Plus C Se</c:v>
                </c:pt>
                <c:pt idx="3">
                  <c:v>ti-84 plus ce</c:v>
                </c:pt>
                <c:pt idx="4">
                  <c:v>TI-84 PLUS CE PYTHON</c:v>
                </c:pt>
                <c:pt idx="5">
                  <c:v>ti-nspire cx</c:v>
                </c:pt>
                <c:pt idx="6">
                  <c:v>Ti-nspire CX II</c:v>
                </c:pt>
              </c:strCache>
            </c:strRef>
          </c:cat>
          <c:val>
            <c:numRef>
              <c:f>Sheet4!$B$112:$B$119</c:f>
              <c:numCache>
                <c:formatCode>General</c:formatCode>
                <c:ptCount val="7"/>
                <c:pt idx="0">
                  <c:v>13</c:v>
                </c:pt>
                <c:pt idx="1">
                  <c:v>5</c:v>
                </c:pt>
                <c:pt idx="2">
                  <c:v>4</c:v>
                </c:pt>
                <c:pt idx="3">
                  <c:v>71</c:v>
                </c:pt>
                <c:pt idx="4">
                  <c:v>46</c:v>
                </c:pt>
                <c:pt idx="5">
                  <c:v>18</c:v>
                </c:pt>
                <c:pt idx="6">
                  <c:v>6</c:v>
                </c:pt>
              </c:numCache>
            </c:numRef>
          </c:val>
        </c:ser>
        <c:dLbls>
          <c:showLegendKey val="0"/>
          <c:showVal val="0"/>
          <c:showCatName val="0"/>
          <c:showSerName val="0"/>
          <c:showPercent val="0"/>
          <c:showBubbleSize val="0"/>
        </c:dLbls>
        <c:gapWidth val="150"/>
        <c:axId val="210277888"/>
        <c:axId val="210279424"/>
      </c:barChart>
      <c:catAx>
        <c:axId val="210277888"/>
        <c:scaling>
          <c:orientation val="minMax"/>
        </c:scaling>
        <c:delete val="0"/>
        <c:axPos val="l"/>
        <c:majorTickMark val="out"/>
        <c:minorTickMark val="none"/>
        <c:tickLblPos val="nextTo"/>
        <c:txPr>
          <a:bodyPr/>
          <a:lstStyle/>
          <a:p>
            <a:pPr>
              <a:defRPr b="1"/>
            </a:pPr>
            <a:endParaRPr lang="en-US"/>
          </a:p>
        </c:txPr>
        <c:crossAx val="210279424"/>
        <c:crosses val="autoZero"/>
        <c:auto val="1"/>
        <c:lblAlgn val="ctr"/>
        <c:lblOffset val="100"/>
        <c:noMultiLvlLbl val="0"/>
      </c:catAx>
      <c:valAx>
        <c:axId val="210279424"/>
        <c:scaling>
          <c:orientation val="minMax"/>
        </c:scaling>
        <c:delete val="0"/>
        <c:axPos val="b"/>
        <c:numFmt formatCode="General" sourceLinked="1"/>
        <c:majorTickMark val="out"/>
        <c:minorTickMark val="none"/>
        <c:tickLblPos val="nextTo"/>
        <c:crossAx val="210277888"/>
        <c:crosses val="autoZero"/>
        <c:crossBetween val="between"/>
      </c:valAx>
    </c:plotArea>
    <c:plotVisOnly val="1"/>
    <c:dispBlanksAs val="gap"/>
    <c:showDLblsOverMax val="0"/>
  </c:chart>
  <c:spPr>
    <a:ln>
      <a:solidFill>
        <a:sysClr val="windowText" lastClr="000000"/>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[xlx.xlsx]Sheet4!PivotTable5</c:name>
    <c:fmtId val="6"/>
  </c:pivotSource>
  <c:chart>
    <c:title>
      <c:tx>
        <c:rich>
          <a:bodyPr/>
          <a:lstStyle/>
          <a:p>
            <a:pPr>
              <a:defRPr/>
            </a:pPr>
            <a:r>
              <a:rPr lang="en-US"/>
              <a:t>Product</a:t>
            </a:r>
            <a:r>
              <a:rPr lang="en-US" baseline="0"/>
              <a:t> VS Discount</a:t>
            </a:r>
            <a:endParaRPr lang="en-US"/>
          </a:p>
        </c:rich>
      </c:tx>
      <c:layout>
        <c:manualLayout>
          <c:xMode val="edge"/>
          <c:yMode val="edge"/>
          <c:x val="0.11377500226264821"/>
          <c:y val="0"/>
        </c:manualLayout>
      </c:layout>
      <c:overlay val="0"/>
    </c:title>
    <c:autoTitleDeleted val="0"/>
    <c:pivotFmts>
      <c:pivotFmt>
        <c:idx val="0"/>
        <c:spPr>
          <a:solidFill>
            <a:schemeClr val="accent3">
              <a:lumMod val="75000"/>
              <a:alpha val="98824"/>
            </a:schemeClr>
          </a:solidFill>
          <a:ln>
            <a:solidFill>
              <a:schemeClr val="accent3">
                <a:lumMod val="60000"/>
                <a:lumOff val="40000"/>
              </a:schemeClr>
            </a:solidFill>
          </a:ln>
        </c:spPr>
        <c:marker>
          <c:symbol val="none"/>
        </c:marker>
        <c:dLbl>
          <c:idx val="0"/>
          <c:delete val="1"/>
        </c:dLbl>
      </c:pivotFmt>
      <c:pivotFmt>
        <c:idx val="1"/>
        <c:spPr>
          <a:solidFill>
            <a:schemeClr val="accent6">
              <a:lumMod val="50000"/>
              <a:alpha val="98824"/>
            </a:schemeClr>
          </a:solidFill>
          <a:ln>
            <a:solidFill>
              <a:schemeClr val="accent3">
                <a:lumMod val="60000"/>
                <a:lumOff val="40000"/>
              </a:schemeClr>
            </a:solidFill>
          </a:ln>
        </c:spPr>
        <c:dLbl>
          <c:idx val="0"/>
          <c:layout>
            <c:manualLayout>
              <c:x val="0.11050665218571808"/>
              <c:y val="1.6388122026428486E-2"/>
            </c:manualLayout>
          </c:layout>
          <c:showLegendKey val="0"/>
          <c:showVal val="1"/>
          <c:showCatName val="0"/>
          <c:showSerName val="0"/>
          <c:showPercent val="0"/>
          <c:showBubbleSize val="0"/>
        </c:dLbl>
      </c:pivotFmt>
      <c:pivotFmt>
        <c:idx val="2"/>
        <c:spPr>
          <a:solidFill>
            <a:schemeClr val="accent3">
              <a:alpha val="98824"/>
            </a:schemeClr>
          </a:solidFill>
          <a:ln>
            <a:solidFill>
              <a:schemeClr val="accent3">
                <a:lumMod val="60000"/>
                <a:lumOff val="40000"/>
              </a:schemeClr>
            </a:solidFill>
          </a:ln>
        </c:spPr>
        <c:dLbl>
          <c:idx val="0"/>
          <c:layout>
            <c:manualLayout>
              <c:x val="0.11167852077665642"/>
              <c:y val="-0.26595787314530134"/>
            </c:manualLayout>
          </c:layout>
          <c:showLegendKey val="0"/>
          <c:showVal val="1"/>
          <c:showCatName val="0"/>
          <c:showSerName val="0"/>
          <c:showPercent val="0"/>
          <c:showBubbleSize val="0"/>
        </c:dLbl>
      </c:pivotFmt>
      <c:pivotFmt>
        <c:idx val="3"/>
        <c:spPr>
          <a:solidFill>
            <a:schemeClr val="accent3">
              <a:lumMod val="75000"/>
              <a:alpha val="98824"/>
            </a:schemeClr>
          </a:solidFill>
          <a:ln>
            <a:solidFill>
              <a:schemeClr val="accent3">
                <a:lumMod val="60000"/>
                <a:lumOff val="40000"/>
              </a:schemeClr>
            </a:solidFill>
          </a:ln>
        </c:spPr>
        <c:marker>
          <c:symbol val="none"/>
        </c:marker>
        <c:dLbl>
          <c:idx val="0"/>
          <c:delete val="1"/>
        </c:dLbl>
      </c:pivotFmt>
      <c:pivotFmt>
        <c:idx val="4"/>
        <c:spPr>
          <a:solidFill>
            <a:schemeClr val="accent6">
              <a:lumMod val="50000"/>
              <a:alpha val="98824"/>
            </a:schemeClr>
          </a:solidFill>
          <a:ln>
            <a:solidFill>
              <a:schemeClr val="accent3">
                <a:lumMod val="60000"/>
                <a:lumOff val="40000"/>
              </a:schemeClr>
            </a:solidFill>
          </a:ln>
        </c:spPr>
        <c:dLbl>
          <c:idx val="0"/>
          <c:layout>
            <c:manualLayout>
              <c:x val="0.11050665218571808"/>
              <c:y val="1.6388122026428486E-2"/>
            </c:manualLayout>
          </c:layout>
          <c:showLegendKey val="0"/>
          <c:showVal val="1"/>
          <c:showCatName val="0"/>
          <c:showSerName val="0"/>
          <c:showPercent val="0"/>
          <c:showBubbleSize val="0"/>
        </c:dLbl>
      </c:pivotFmt>
      <c:pivotFmt>
        <c:idx val="5"/>
        <c:spPr>
          <a:solidFill>
            <a:schemeClr val="accent3">
              <a:alpha val="98824"/>
            </a:schemeClr>
          </a:solidFill>
          <a:ln>
            <a:solidFill>
              <a:schemeClr val="accent3">
                <a:lumMod val="60000"/>
                <a:lumOff val="40000"/>
              </a:schemeClr>
            </a:solidFill>
          </a:ln>
        </c:spPr>
        <c:dLbl>
          <c:idx val="0"/>
          <c:layout>
            <c:manualLayout>
              <c:x val="0.11167852077665642"/>
              <c:y val="-0.26595787314530134"/>
            </c:manualLayout>
          </c:layout>
          <c:showLegendKey val="0"/>
          <c:showVal val="1"/>
          <c:showCatName val="0"/>
          <c:showSerName val="0"/>
          <c:showPercent val="0"/>
          <c:showBubbleSize val="0"/>
        </c:dLbl>
      </c:pivotFmt>
      <c:pivotFmt>
        <c:idx val="6"/>
        <c:spPr>
          <a:solidFill>
            <a:schemeClr val="accent5">
              <a:lumMod val="60000"/>
              <a:lumOff val="40000"/>
              <a:alpha val="98824"/>
            </a:schemeClr>
          </a:solidFill>
          <a:ln>
            <a:solidFill>
              <a:schemeClr val="accent3">
                <a:lumMod val="60000"/>
                <a:lumOff val="40000"/>
              </a:schemeClr>
            </a:solidFill>
          </a:ln>
        </c:spPr>
        <c:marker>
          <c:symbol val="none"/>
        </c:marker>
        <c:dLbl>
          <c:idx val="0"/>
          <c:delete val="1"/>
        </c:dLbl>
      </c:pivotFmt>
      <c:pivotFmt>
        <c:idx val="7"/>
        <c:spPr>
          <a:solidFill>
            <a:schemeClr val="tx2">
              <a:alpha val="98824"/>
            </a:schemeClr>
          </a:solidFill>
          <a:ln>
            <a:solidFill>
              <a:schemeClr val="accent3">
                <a:lumMod val="60000"/>
                <a:lumOff val="40000"/>
              </a:schemeClr>
            </a:solidFill>
          </a:ln>
        </c:spPr>
        <c:dLbl>
          <c:idx val="0"/>
          <c:layout>
            <c:manualLayout>
              <c:x val="0.11050665218571808"/>
              <c:y val="1.6388122026428486E-2"/>
            </c:manualLayout>
          </c:layout>
          <c:showLegendKey val="0"/>
          <c:showVal val="1"/>
          <c:showCatName val="0"/>
          <c:showSerName val="0"/>
          <c:showPercent val="0"/>
          <c:showBubbleSize val="0"/>
        </c:dLbl>
      </c:pivotFmt>
      <c:pivotFmt>
        <c:idx val="8"/>
        <c:spPr>
          <a:solidFill>
            <a:srgbClr val="13CADD">
              <a:alpha val="98824"/>
            </a:srgbClr>
          </a:solidFill>
          <a:ln>
            <a:solidFill>
              <a:schemeClr val="accent3">
                <a:lumMod val="60000"/>
                <a:lumOff val="40000"/>
              </a:schemeClr>
            </a:solidFill>
          </a:ln>
        </c:spPr>
        <c:dLbl>
          <c:idx val="0"/>
          <c:layout>
            <c:manualLayout>
              <c:x val="0.11167852077665642"/>
              <c:y val="-0.26595787314530134"/>
            </c:manualLayout>
          </c:layout>
          <c:showLegendKey val="0"/>
          <c:showVal val="1"/>
          <c:showCatName val="0"/>
          <c:showSerName val="0"/>
          <c:showPercent val="0"/>
          <c:showBubbleSize val="0"/>
        </c:dLbl>
      </c:pivotFmt>
    </c:pivotFmts>
    <c:view3D>
      <c:rotX val="30"/>
      <c:rotY val="360"/>
      <c:rAngAx val="0"/>
      <c:perspective val="30"/>
    </c:view3D>
    <c:floor>
      <c:thickness val="0"/>
    </c:floor>
    <c:sideWall>
      <c:thickness val="0"/>
    </c:sideWall>
    <c:backWall>
      <c:thickness val="0"/>
    </c:backWall>
    <c:plotArea>
      <c:layout>
        <c:manualLayout>
          <c:layoutTarget val="inner"/>
          <c:xMode val="edge"/>
          <c:yMode val="edge"/>
          <c:x val="0"/>
          <c:y val="0.24915996340132837"/>
          <c:w val="1"/>
          <c:h val="0.7508400365986716"/>
        </c:manualLayout>
      </c:layout>
      <c:pie3DChart>
        <c:varyColors val="1"/>
        <c:ser>
          <c:idx val="0"/>
          <c:order val="0"/>
          <c:tx>
            <c:strRef>
              <c:f>Sheet4!$B$29</c:f>
              <c:strCache>
                <c:ptCount val="1"/>
                <c:pt idx="0">
                  <c:v>Total</c:v>
                </c:pt>
              </c:strCache>
            </c:strRef>
          </c:tx>
          <c:spPr>
            <a:solidFill>
              <a:schemeClr val="accent5">
                <a:lumMod val="60000"/>
                <a:lumOff val="40000"/>
                <a:alpha val="98824"/>
              </a:schemeClr>
            </a:solidFill>
            <a:ln>
              <a:solidFill>
                <a:schemeClr val="accent3">
                  <a:lumMod val="60000"/>
                  <a:lumOff val="40000"/>
                </a:schemeClr>
              </a:solidFill>
            </a:ln>
          </c:spPr>
          <c:explosion val="25"/>
          <c:dPt>
            <c:idx val="0"/>
            <c:bubble3D val="0"/>
            <c:spPr>
              <a:solidFill>
                <a:schemeClr val="tx2">
                  <a:alpha val="98824"/>
                </a:schemeClr>
              </a:solidFill>
              <a:ln>
                <a:solidFill>
                  <a:schemeClr val="accent3">
                    <a:lumMod val="60000"/>
                    <a:lumOff val="40000"/>
                  </a:schemeClr>
                </a:solidFill>
              </a:ln>
            </c:spPr>
          </c:dPt>
          <c:dPt>
            <c:idx val="1"/>
            <c:bubble3D val="0"/>
            <c:spPr>
              <a:solidFill>
                <a:srgbClr val="13CADD">
                  <a:alpha val="98824"/>
                </a:srgbClr>
              </a:solidFill>
              <a:ln>
                <a:solidFill>
                  <a:schemeClr val="accent3">
                    <a:lumMod val="60000"/>
                    <a:lumOff val="40000"/>
                  </a:schemeClr>
                </a:solidFill>
              </a:ln>
            </c:spPr>
          </c:dPt>
          <c:dLbls>
            <c:dLbl>
              <c:idx val="0"/>
              <c:layout>
                <c:manualLayout>
                  <c:x val="0.11050665218571808"/>
                  <c:y val="1.6388122026428486E-2"/>
                </c:manualLayout>
              </c:layout>
              <c:showLegendKey val="0"/>
              <c:showVal val="1"/>
              <c:showCatName val="0"/>
              <c:showSerName val="0"/>
              <c:showPercent val="0"/>
              <c:showBubbleSize val="0"/>
            </c:dLbl>
            <c:dLbl>
              <c:idx val="1"/>
              <c:layout>
                <c:manualLayout>
                  <c:x val="0.11167852077665642"/>
                  <c:y val="-0.26595787314530134"/>
                </c:manualLayout>
              </c:layout>
              <c:showLegendKey val="0"/>
              <c:showVal val="1"/>
              <c:showCatName val="0"/>
              <c:showSerName val="0"/>
              <c:showPercent val="0"/>
              <c:showBubbleSize val="0"/>
            </c:dLbl>
            <c:spPr/>
            <c:txPr>
              <a:bodyPr/>
              <a:lstStyle/>
              <a:p>
                <a:pPr>
                  <a:defRPr/>
                </a:pPr>
                <a:endParaRPr lang="en-US"/>
              </a:p>
            </c:txPr>
            <c:showLegendKey val="0"/>
            <c:showVal val="0"/>
            <c:showCatName val="0"/>
            <c:showSerName val="0"/>
            <c:showPercent val="0"/>
            <c:showBubbleSize val="0"/>
          </c:dLbls>
          <c:cat>
            <c:strRef>
              <c:f>Sheet4!$A$30:$A$32</c:f>
              <c:strCache>
                <c:ptCount val="2"/>
                <c:pt idx="0">
                  <c:v>CAS Calculator</c:v>
                </c:pt>
                <c:pt idx="1">
                  <c:v>Graphing Calculator</c:v>
                </c:pt>
              </c:strCache>
            </c:strRef>
          </c:cat>
          <c:val>
            <c:numRef>
              <c:f>Sheet4!$B$30:$B$32</c:f>
              <c:numCache>
                <c:formatCode>0.00%</c:formatCode>
                <c:ptCount val="2"/>
                <c:pt idx="0">
                  <c:v>6.9252077562326875E-2</c:v>
                </c:pt>
                <c:pt idx="1">
                  <c:v>0.93074792243767313</c:v>
                </c:pt>
              </c:numCache>
            </c:numRef>
          </c:val>
        </c:ser>
        <c:dLbls>
          <c:showLegendKey val="0"/>
          <c:showVal val="0"/>
          <c:showCatName val="0"/>
          <c:showSerName val="0"/>
          <c:showPercent val="0"/>
          <c:showBubbleSize val="0"/>
          <c:showLeaderLines val="1"/>
        </c:dLbls>
      </c:pie3DChart>
    </c:plotArea>
    <c:plotVisOnly val="1"/>
    <c:dispBlanksAs val="gap"/>
    <c:showDLblsOverMax val="0"/>
  </c:chart>
  <c:spPr>
    <a:solidFill>
      <a:sysClr val="window" lastClr="FFFFFF"/>
    </a:solidFill>
    <a:ln>
      <a:solidFill>
        <a:schemeClr val="tx1">
          <a:lumMod val="95000"/>
          <a:lumOff val="5000"/>
        </a:schemeClr>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[xlx.xlsx]Sheet3!PivotTable2</c:name>
    <c:fmtId val="3"/>
  </c:pivotSource>
  <c:chart>
    <c:autoTitleDeleted val="1"/>
    <c:pivotFmts>
      <c:pivotFmt>
        <c:idx val="0"/>
        <c:dLbl>
          <c:idx val="0"/>
          <c:spPr/>
          <c:txPr>
            <a:bodyPr/>
            <a:lstStyle/>
            <a:p>
              <a:pPr>
                <a:defRPr/>
              </a:pPr>
              <a:endParaRPr lang="en-US"/>
            </a:p>
          </c:txPr>
          <c:showLegendKey val="1"/>
          <c:showVal val="1"/>
          <c:showCatName val="1"/>
          <c:showSerName val="1"/>
          <c:showPercent val="1"/>
          <c:showBubbleSize val="1"/>
        </c:dLbl>
      </c:pivotFmt>
      <c:pivotFmt>
        <c:idx val="1"/>
        <c:spPr>
          <a:solidFill>
            <a:schemeClr val="accent6">
              <a:lumMod val="50000"/>
            </a:schemeClr>
          </a:solidFill>
          <a:ln>
            <a:solidFill>
              <a:schemeClr val="accent5">
                <a:lumMod val="20000"/>
                <a:lumOff val="80000"/>
              </a:schemeClr>
            </a:solidFill>
          </a:ln>
        </c:spPr>
      </c:pivotFmt>
      <c:pivotFmt>
        <c:idx val="2"/>
        <c:spPr>
          <a:solidFill>
            <a:schemeClr val="accent3">
              <a:lumMod val="50000"/>
            </a:schemeClr>
          </a:solidFill>
        </c:spPr>
      </c:pivotFmt>
      <c:pivotFmt>
        <c:idx val="3"/>
        <c:spPr>
          <a:solidFill>
            <a:srgbClr val="002060"/>
          </a:solidFill>
        </c:spPr>
      </c:pivotFmt>
      <c:pivotFmt>
        <c:idx val="4"/>
        <c:spPr>
          <a:solidFill>
            <a:schemeClr val="bg1">
              <a:lumMod val="50000"/>
            </a:schemeClr>
          </a:solidFill>
        </c:spPr>
      </c:pivotFmt>
      <c:pivotFmt>
        <c:idx val="5"/>
      </c:pivotFmt>
      <c:pivotFmt>
        <c:idx val="6"/>
      </c:pivotFmt>
      <c:pivotFmt>
        <c:idx val="7"/>
      </c:pivotFmt>
      <c:pivotFmt>
        <c:idx val="8"/>
      </c:pivotFmt>
      <c:pivotFmt>
        <c:idx val="9"/>
        <c:dLbl>
          <c:idx val="0"/>
          <c:spPr/>
          <c:txPr>
            <a:bodyPr/>
            <a:lstStyle/>
            <a:p>
              <a:pPr>
                <a:defRPr/>
              </a:pPr>
              <a:endParaRPr lang="en-US"/>
            </a:p>
          </c:txPr>
          <c:showLegendKey val="1"/>
          <c:showVal val="1"/>
          <c:showCatName val="1"/>
          <c:showSerName val="1"/>
          <c:showPercent val="1"/>
          <c:showBubbleSize val="1"/>
        </c:dLbl>
      </c:pivotFmt>
      <c:pivotFmt>
        <c:idx val="10"/>
        <c:spPr>
          <a:solidFill>
            <a:schemeClr val="bg1">
              <a:lumMod val="50000"/>
            </a:schemeClr>
          </a:solidFill>
        </c:spPr>
      </c:pivotFmt>
      <c:pivotFmt>
        <c:idx val="11"/>
        <c:spPr>
          <a:solidFill>
            <a:schemeClr val="accent6">
              <a:lumMod val="50000"/>
            </a:schemeClr>
          </a:solidFill>
          <a:ln>
            <a:solidFill>
              <a:schemeClr val="accent5">
                <a:lumMod val="20000"/>
                <a:lumOff val="80000"/>
              </a:schemeClr>
            </a:solidFill>
          </a:ln>
        </c:spPr>
      </c:pivotFmt>
      <c:pivotFmt>
        <c:idx val="12"/>
      </c:pivotFmt>
      <c:pivotFmt>
        <c:idx val="13"/>
        <c:spPr>
          <a:solidFill>
            <a:schemeClr val="accent3">
              <a:lumMod val="50000"/>
            </a:schemeClr>
          </a:solidFill>
        </c:spPr>
      </c:pivotFmt>
      <c:pivotFmt>
        <c:idx val="14"/>
      </c:pivotFmt>
      <c:pivotFmt>
        <c:idx val="15"/>
        <c:spPr>
          <a:solidFill>
            <a:srgbClr val="002060"/>
          </a:solidFill>
        </c:spPr>
      </c:pivotFmt>
      <c:pivotFmt>
        <c:idx val="16"/>
      </c:pivotFmt>
      <c:pivotFmt>
        <c:idx val="17"/>
      </c:pivotFmt>
      <c:pivotFmt>
        <c:idx val="1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19"/>
        <c:spPr>
          <a:solidFill>
            <a:schemeClr val="accent5">
              <a:lumMod val="60000"/>
              <a:lumOff val="40000"/>
            </a:schemeClr>
          </a:solidFill>
        </c:spPr>
        <c:dLbl>
          <c:idx val="0"/>
          <c:layout>
            <c:manualLayout>
              <c:x val="0"/>
              <c:y val="-5.5555582558366172E-2"/>
            </c:manualLayout>
          </c:layout>
          <c:showLegendKey val="0"/>
          <c:showVal val="0"/>
          <c:showCatName val="0"/>
          <c:showSerName val="0"/>
          <c:showPercent val="1"/>
          <c:showBubbleSize val="0"/>
        </c:dLbl>
      </c:pivotFmt>
      <c:pivotFmt>
        <c:idx val="20"/>
        <c:spPr>
          <a:solidFill>
            <a:srgbClr val="35998D"/>
          </a:solidFill>
          <a:ln>
            <a:solidFill>
              <a:schemeClr val="accent5">
                <a:lumMod val="20000"/>
                <a:lumOff val="80000"/>
              </a:schemeClr>
            </a:solidFill>
          </a:ln>
        </c:spPr>
        <c:dLbl>
          <c:idx val="0"/>
          <c:layout>
            <c:manualLayout>
              <c:x val="-8.3720930232558138E-2"/>
              <c:y val="7.4074110077821553E-2"/>
            </c:manualLayout>
          </c:layout>
          <c:showLegendKey val="0"/>
          <c:showVal val="1"/>
          <c:showCatName val="0"/>
          <c:showSerName val="0"/>
          <c:showPercent val="1"/>
          <c:showBubbleSize val="0"/>
        </c:dLbl>
      </c:pivotFmt>
      <c:pivotFmt>
        <c:idx val="21"/>
        <c:dLbl>
          <c:idx val="0"/>
          <c:layout>
            <c:manualLayout>
              <c:x val="-7.131782945736434E-2"/>
              <c:y val="4.3209897545395913E-2"/>
            </c:manualLayout>
          </c:layout>
          <c:showLegendKey val="0"/>
          <c:showVal val="0"/>
          <c:showCatName val="0"/>
          <c:showSerName val="0"/>
          <c:showPercent val="1"/>
          <c:showBubbleSize val="0"/>
        </c:dLbl>
      </c:pivotFmt>
      <c:pivotFmt>
        <c:idx val="22"/>
        <c:spPr>
          <a:solidFill>
            <a:srgbClr val="00B0F0"/>
          </a:solidFill>
        </c:spPr>
      </c:pivotFmt>
      <c:pivotFmt>
        <c:idx val="23"/>
        <c:dLbl>
          <c:idx val="0"/>
          <c:layout>
            <c:manualLayout>
              <c:x val="-4.3410852713178294E-2"/>
              <c:y val="-0.12962969263618773"/>
            </c:manualLayout>
          </c:layout>
          <c:showLegendKey val="0"/>
          <c:showVal val="0"/>
          <c:showCatName val="0"/>
          <c:showSerName val="0"/>
          <c:showPercent val="1"/>
          <c:showBubbleSize val="0"/>
        </c:dLbl>
      </c:pivotFmt>
      <c:pivotFmt>
        <c:idx val="24"/>
        <c:spPr>
          <a:solidFill>
            <a:srgbClr val="0070C0"/>
          </a:solidFill>
        </c:spPr>
      </c:pivotFmt>
      <c:pivotFmt>
        <c:idx val="25"/>
        <c:dLbl>
          <c:idx val="0"/>
          <c:delete val="1"/>
        </c:dLbl>
      </c:pivotFmt>
      <c:pivotFmt>
        <c:idx val="26"/>
        <c:dLbl>
          <c:idx val="0"/>
          <c:layout>
            <c:manualLayout>
              <c:x val="-9.3023255813953487E-3"/>
              <c:y val="-0.14814822015564313"/>
            </c:manualLayout>
          </c:layout>
          <c:showLegendKey val="0"/>
          <c:showVal val="0"/>
          <c:showCatName val="0"/>
          <c:showSerName val="0"/>
          <c:showPercent val="1"/>
          <c:showBubbleSize val="0"/>
        </c:dLbl>
      </c:pivotFmt>
    </c:pivotFmts>
    <c:plotArea>
      <c:layout/>
      <c:doughnutChart>
        <c:varyColors val="1"/>
        <c:ser>
          <c:idx val="0"/>
          <c:order val="0"/>
          <c:tx>
            <c:strRef>
              <c:f>Sheet3!$B$4</c:f>
              <c:strCache>
                <c:ptCount val="1"/>
                <c:pt idx="0">
                  <c:v>Total</c:v>
                </c:pt>
              </c:strCache>
            </c:strRef>
          </c:tx>
          <c:dPt>
            <c:idx val="0"/>
            <c:bubble3D val="0"/>
            <c:spPr>
              <a:solidFill>
                <a:schemeClr val="accent5">
                  <a:lumMod val="60000"/>
                  <a:lumOff val="40000"/>
                </a:schemeClr>
              </a:solidFill>
            </c:spPr>
          </c:dPt>
          <c:dPt>
            <c:idx val="1"/>
            <c:bubble3D val="0"/>
            <c:spPr>
              <a:solidFill>
                <a:srgbClr val="35998D"/>
              </a:solidFill>
              <a:ln>
                <a:solidFill>
                  <a:schemeClr val="accent5">
                    <a:lumMod val="20000"/>
                    <a:lumOff val="80000"/>
                  </a:schemeClr>
                </a:solidFill>
              </a:ln>
            </c:spPr>
          </c:dPt>
          <c:dPt>
            <c:idx val="2"/>
            <c:bubble3D val="0"/>
          </c:dPt>
          <c:dPt>
            <c:idx val="3"/>
            <c:bubble3D val="0"/>
            <c:spPr>
              <a:solidFill>
                <a:srgbClr val="00B0F0"/>
              </a:solidFill>
            </c:spPr>
          </c:dPt>
          <c:dPt>
            <c:idx val="4"/>
            <c:bubble3D val="0"/>
          </c:dPt>
          <c:dPt>
            <c:idx val="5"/>
            <c:bubble3D val="0"/>
            <c:spPr>
              <a:solidFill>
                <a:srgbClr val="0070C0"/>
              </a:solidFill>
            </c:spPr>
          </c:dPt>
          <c:dPt>
            <c:idx val="7"/>
            <c:bubble3D val="0"/>
          </c:dPt>
          <c:dLbls>
            <c:dLbl>
              <c:idx val="0"/>
              <c:layout>
                <c:manualLayout>
                  <c:x val="0"/>
                  <c:y val="-5.5555582558366172E-2"/>
                </c:manualLayout>
              </c:layout>
              <c:showLegendKey val="0"/>
              <c:showVal val="0"/>
              <c:showCatName val="0"/>
              <c:showSerName val="0"/>
              <c:showPercent val="1"/>
              <c:showBubbleSize val="0"/>
            </c:dLbl>
            <c:dLbl>
              <c:idx val="1"/>
              <c:layout>
                <c:manualLayout>
                  <c:x val="-8.3720930232558138E-2"/>
                  <c:y val="7.4074110077821553E-2"/>
                </c:manualLayout>
              </c:layout>
              <c:showLegendKey val="0"/>
              <c:showVal val="1"/>
              <c:showCatName val="0"/>
              <c:showSerName val="0"/>
              <c:showPercent val="1"/>
              <c:showBubbleSize val="0"/>
            </c:dLbl>
            <c:dLbl>
              <c:idx val="2"/>
              <c:layout>
                <c:manualLayout>
                  <c:x val="-7.131782945736434E-2"/>
                  <c:y val="4.3209897545395913E-2"/>
                </c:manualLayout>
              </c:layout>
              <c:showLegendKey val="0"/>
              <c:showVal val="0"/>
              <c:showCatName val="0"/>
              <c:showSerName val="0"/>
              <c:showPercent val="1"/>
              <c:showBubbleSize val="0"/>
            </c:dLbl>
            <c:dLbl>
              <c:idx val="4"/>
              <c:layout>
                <c:manualLayout>
                  <c:x val="-4.3410852713178294E-2"/>
                  <c:y val="-0.12962969263618773"/>
                </c:manualLayout>
              </c:layout>
              <c:showLegendKey val="0"/>
              <c:showVal val="0"/>
              <c:showCatName val="0"/>
              <c:showSerName val="0"/>
              <c:showPercent val="1"/>
              <c:showBubbleSize val="0"/>
            </c:dLbl>
            <c:dLbl>
              <c:idx val="6"/>
              <c:delete val="1"/>
            </c:dLbl>
            <c:dLbl>
              <c:idx val="7"/>
              <c:layout>
                <c:manualLayout>
                  <c:x val="-9.3023255813953487E-3"/>
                  <c:y val="-0.14814822015564313"/>
                </c:manualLayout>
              </c:layout>
              <c:showLegendKey val="0"/>
              <c:showVal val="0"/>
              <c:showCatName val="0"/>
              <c:showSerName val="0"/>
              <c:showPercent val="1"/>
              <c:showBubbleSize val="0"/>
            </c:dLbl>
            <c:spPr/>
            <c:txPr>
              <a:bodyPr/>
              <a:lstStyle/>
              <a:p>
                <a:pPr>
                  <a:defRPr/>
                </a:pPr>
                <a:endParaRPr lang="en-US"/>
              </a:p>
            </c:txPr>
            <c:showLegendKey val="0"/>
            <c:showVal val="0"/>
            <c:showCatName val="0"/>
            <c:showSerName val="0"/>
            <c:showPercent val="1"/>
            <c:showBubbleSize val="0"/>
            <c:showLeaderLines val="1"/>
          </c:dLbls>
          <c:cat>
            <c:multiLvlStrRef>
              <c:f>Sheet3!$A$5:$A$19</c:f>
              <c:multiLvlStrCache>
                <c:ptCount val="9"/>
                <c:lvl>
                  <c:pt idx="0">
                    <c:v>CAS Calculator</c:v>
                  </c:pt>
                  <c:pt idx="1">
                    <c:v>Graphing Calculator</c:v>
                  </c:pt>
                  <c:pt idx="2">
                    <c:v>CAS Calculator</c:v>
                  </c:pt>
                  <c:pt idx="3">
                    <c:v>Graphing Calculator</c:v>
                  </c:pt>
                  <c:pt idx="4">
                    <c:v>CAS Calculator</c:v>
                  </c:pt>
                  <c:pt idx="5">
                    <c:v>Graphing Calculator</c:v>
                  </c:pt>
                  <c:pt idx="6">
                    <c:v>CAS Calculator</c:v>
                  </c:pt>
                  <c:pt idx="7">
                    <c:v>Graphing Calculator</c:v>
                  </c:pt>
                  <c:pt idx="8">
                    <c:v>(blank)</c:v>
                  </c:pt>
                </c:lvl>
                <c:lvl>
                  <c:pt idx="0">
                    <c:v>1</c:v>
                  </c:pt>
                  <c:pt idx="2">
                    <c:v>2</c:v>
                  </c:pt>
                  <c:pt idx="4">
                    <c:v>3</c:v>
                  </c:pt>
                  <c:pt idx="6">
                    <c:v>4</c:v>
                  </c:pt>
                  <c:pt idx="8">
                    <c:v>Other</c:v>
                  </c:pt>
                </c:lvl>
              </c:multiLvlStrCache>
            </c:multiLvlStrRef>
          </c:cat>
          <c:val>
            <c:numRef>
              <c:f>Sheet3!$B$5:$B$19</c:f>
              <c:numCache>
                <c:formatCode>General</c:formatCode>
                <c:ptCount val="9"/>
                <c:pt idx="0">
                  <c:v>47</c:v>
                </c:pt>
                <c:pt idx="1">
                  <c:v>715</c:v>
                </c:pt>
                <c:pt idx="2">
                  <c:v>15</c:v>
                </c:pt>
                <c:pt idx="3">
                  <c:v>195</c:v>
                </c:pt>
                <c:pt idx="4">
                  <c:v>10</c:v>
                </c:pt>
                <c:pt idx="5">
                  <c:v>78</c:v>
                </c:pt>
                <c:pt idx="6">
                  <c:v>3</c:v>
                </c:pt>
                <c:pt idx="7">
                  <c:v>20</c:v>
                </c:pt>
              </c:numCache>
            </c:numRef>
          </c:val>
        </c:ser>
        <c:dLbls>
          <c:showLegendKey val="0"/>
          <c:showVal val="0"/>
          <c:showCatName val="0"/>
          <c:showSerName val="0"/>
          <c:showPercent val="0"/>
          <c:showBubbleSize val="0"/>
          <c:showLeaderLines val="1"/>
        </c:dLbls>
        <c:firstSliceAng val="0"/>
        <c:holeSize val="50"/>
      </c:doughnutChart>
    </c:plotArea>
    <c:legend>
      <c:legendPos val="r"/>
      <c:legendEntry>
        <c:idx val="8"/>
        <c:delete val="1"/>
      </c:legendEntry>
      <c:layout>
        <c:manualLayout>
          <c:xMode val="edge"/>
          <c:yMode val="edge"/>
          <c:x val="0.6256004394799487"/>
          <c:y val="0.12291295951830442"/>
          <c:w val="0.34171665751083441"/>
          <c:h val="0.78677057780236115"/>
        </c:manualLayout>
      </c:layout>
      <c:overlay val="0"/>
      <c:txPr>
        <a:bodyPr/>
        <a:lstStyle/>
        <a:p>
          <a:pPr>
            <a:defRPr b="1"/>
          </a:pPr>
          <a:endParaRPr lang="en-US"/>
        </a:p>
      </c:txPr>
    </c:legend>
    <c:plotVisOnly val="1"/>
    <c:dispBlanksAs val="gap"/>
    <c:showDLblsOverMax val="0"/>
  </c:chart>
  <c:spPr>
    <a:noFill/>
    <a:ln>
      <a:solidFill>
        <a:schemeClr val="tx1"/>
      </a:solid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638176</xdr:colOff>
      <xdr:row>5</xdr:row>
      <xdr:rowOff>114300</xdr:rowOff>
    </xdr:from>
    <xdr:to>
      <xdr:col>8</xdr:col>
      <xdr:colOff>342900</xdr:colOff>
      <xdr:row>19</xdr:row>
      <xdr:rowOff>114301</xdr:rowOff>
    </xdr:to>
    <xdr:graphicFrame macro="">
      <xdr:nvGraphicFramePr>
        <xdr:cNvPr id="2" name="Chart 1" title="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909636</xdr:colOff>
      <xdr:row>2</xdr:row>
      <xdr:rowOff>19048</xdr:rowOff>
    </xdr:from>
    <xdr:to>
      <xdr:col>6</xdr:col>
      <xdr:colOff>76200</xdr:colOff>
      <xdr:row>16</xdr:row>
      <xdr:rowOff>76199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781051</xdr:colOff>
      <xdr:row>27</xdr:row>
      <xdr:rowOff>28575</xdr:rowOff>
    </xdr:from>
    <xdr:to>
      <xdr:col>6</xdr:col>
      <xdr:colOff>76201</xdr:colOff>
      <xdr:row>36</xdr:row>
      <xdr:rowOff>85724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852487</xdr:colOff>
      <xdr:row>37</xdr:row>
      <xdr:rowOff>161925</xdr:rowOff>
    </xdr:from>
    <xdr:to>
      <xdr:col>6</xdr:col>
      <xdr:colOff>19050</xdr:colOff>
      <xdr:row>50</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800100</xdr:colOff>
      <xdr:row>109</xdr:row>
      <xdr:rowOff>171450</xdr:rowOff>
    </xdr:from>
    <xdr:to>
      <xdr:col>7</xdr:col>
      <xdr:colOff>790575</xdr:colOff>
      <xdr:row>124</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209550</xdr:colOff>
      <xdr:row>128</xdr:row>
      <xdr:rowOff>152400</xdr:rowOff>
    </xdr:from>
    <xdr:to>
      <xdr:col>9</xdr:col>
      <xdr:colOff>657225</xdr:colOff>
      <xdr:row>143</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xdr:colOff>
      <xdr:row>8</xdr:row>
      <xdr:rowOff>35934</xdr:rowOff>
    </xdr:from>
    <xdr:to>
      <xdr:col>6</xdr:col>
      <xdr:colOff>304801</xdr:colOff>
      <xdr:row>15</xdr:row>
      <xdr:rowOff>183139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161925</xdr:colOff>
      <xdr:row>8</xdr:row>
      <xdr:rowOff>35936</xdr:rowOff>
    </xdr:from>
    <xdr:to>
      <xdr:col>16</xdr:col>
      <xdr:colOff>419100</xdr:colOff>
      <xdr:row>15</xdr:row>
      <xdr:rowOff>180976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200024</xdr:colOff>
      <xdr:row>22</xdr:row>
      <xdr:rowOff>95251</xdr:rowOff>
    </xdr:from>
    <xdr:to>
      <xdr:col>20</xdr:col>
      <xdr:colOff>295275</xdr:colOff>
      <xdr:row>28</xdr:row>
      <xdr:rowOff>114300</xdr:rowOff>
    </xdr:to>
    <mc:AlternateContent xmlns:mc="http://schemas.openxmlformats.org/markup-compatibility/2006" xmlns:a14="http://schemas.microsoft.com/office/drawing/2010/main">
      <mc:Choice Requires="a14">
        <xdr:graphicFrame macro="">
          <xdr:nvGraphicFramePr>
            <xdr:cNvPr id="6" name="Product Name"/>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0563224" y="4419601"/>
              <a:ext cx="1924051"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190499</xdr:colOff>
      <xdr:row>17</xdr:row>
      <xdr:rowOff>114300</xdr:rowOff>
    </xdr:from>
    <xdr:to>
      <xdr:col>20</xdr:col>
      <xdr:colOff>257175</xdr:colOff>
      <xdr:row>22</xdr:row>
      <xdr:rowOff>28575</xdr:rowOff>
    </xdr:to>
    <mc:AlternateContent xmlns:mc="http://schemas.openxmlformats.org/markup-compatibility/2006" xmlns:a14="http://schemas.microsoft.com/office/drawing/2010/main">
      <mc:Choice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553699" y="3486150"/>
              <a:ext cx="1895476"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12</xdr:row>
      <xdr:rowOff>152400</xdr:rowOff>
    </xdr:from>
    <xdr:to>
      <xdr:col>20</xdr:col>
      <xdr:colOff>247650</xdr:colOff>
      <xdr:row>17</xdr:row>
      <xdr:rowOff>57150</xdr:rowOff>
    </xdr:to>
    <mc:AlternateContent xmlns:mc="http://schemas.openxmlformats.org/markup-compatibility/2006" xmlns:a14="http://schemas.microsoft.com/office/drawing/2010/main">
      <mc:Choice Requires="a14">
        <xdr:graphicFrame macro="">
          <xdr:nvGraphicFramePr>
            <xdr:cNvPr id="9" name="Unit Price"/>
            <xdr:cNvGraphicFramePr/>
          </xdr:nvGraphicFramePr>
          <xdr:xfrm>
            <a:off x="0" y="0"/>
            <a:ext cx="0" cy="0"/>
          </xdr:xfrm>
          <a:graphic>
            <a:graphicData uri="http://schemas.microsoft.com/office/drawing/2010/slicer">
              <sle:slicer xmlns:sle="http://schemas.microsoft.com/office/drawing/2010/slicer" name="Unit Price"/>
            </a:graphicData>
          </a:graphic>
        </xdr:graphicFrame>
      </mc:Choice>
      <mc:Fallback xmlns="">
        <xdr:sp macro="" textlink="">
          <xdr:nvSpPr>
            <xdr:cNvPr id="0" name=""/>
            <xdr:cNvSpPr>
              <a:spLocks noTextEdit="1"/>
            </xdr:cNvSpPr>
          </xdr:nvSpPr>
          <xdr:spPr>
            <a:xfrm>
              <a:off x="10553700" y="2571750"/>
              <a:ext cx="188595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7</xdr:row>
      <xdr:rowOff>171450</xdr:rowOff>
    </xdr:from>
    <xdr:to>
      <xdr:col>20</xdr:col>
      <xdr:colOff>266700</xdr:colOff>
      <xdr:row>12</xdr:row>
      <xdr:rowOff>85725</xdr:rowOff>
    </xdr:to>
    <mc:AlternateContent xmlns:mc="http://schemas.openxmlformats.org/markup-compatibility/2006" xmlns:a14="http://schemas.microsoft.com/office/drawing/2010/main">
      <mc:Choice Requires="a14">
        <xdr:graphicFrame macro="">
          <xdr:nvGraphicFramePr>
            <xdr:cNvPr id="10" name="Discount"/>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10553700" y="1638300"/>
              <a:ext cx="1905000" cy="8667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190499</xdr:colOff>
      <xdr:row>1</xdr:row>
      <xdr:rowOff>9525</xdr:rowOff>
    </xdr:from>
    <xdr:to>
      <xdr:col>20</xdr:col>
      <xdr:colOff>276224</xdr:colOff>
      <xdr:row>4</xdr:row>
      <xdr:rowOff>38100</xdr:rowOff>
    </xdr:to>
    <mc:AlternateContent xmlns:mc="http://schemas.openxmlformats.org/markup-compatibility/2006" xmlns:a14="http://schemas.microsoft.com/office/drawing/2010/main">
      <mc:Choice Requires="a14">
        <xdr:graphicFrame macro="">
          <xdr:nvGraphicFramePr>
            <xdr:cNvPr id="11" name="Total Value"/>
            <xdr:cNvGraphicFramePr/>
          </xdr:nvGraphicFramePr>
          <xdr:xfrm>
            <a:off x="0" y="0"/>
            <a:ext cx="0" cy="0"/>
          </xdr:xfrm>
          <a:graphic>
            <a:graphicData uri="http://schemas.microsoft.com/office/drawing/2010/slicer">
              <sle:slicer xmlns:sle="http://schemas.microsoft.com/office/drawing/2010/slicer" name="Total Value"/>
            </a:graphicData>
          </a:graphic>
        </xdr:graphicFrame>
      </mc:Choice>
      <mc:Fallback xmlns="">
        <xdr:sp macro="" textlink="">
          <xdr:nvSpPr>
            <xdr:cNvPr id="0" name=""/>
            <xdr:cNvSpPr>
              <a:spLocks noTextEdit="1"/>
            </xdr:cNvSpPr>
          </xdr:nvSpPr>
          <xdr:spPr>
            <a:xfrm>
              <a:off x="10553699" y="219075"/>
              <a:ext cx="1914525"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17</xdr:row>
      <xdr:rowOff>95250</xdr:rowOff>
    </xdr:from>
    <xdr:to>
      <xdr:col>9</xdr:col>
      <xdr:colOff>152400</xdr:colOff>
      <xdr:row>28</xdr:row>
      <xdr:rowOff>38100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xdr:colOff>
      <xdr:row>8</xdr:row>
      <xdr:rowOff>19050</xdr:rowOff>
    </xdr:from>
    <xdr:to>
      <xdr:col>11</xdr:col>
      <xdr:colOff>390525</xdr:colOff>
      <xdr:row>15</xdr:row>
      <xdr:rowOff>171450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542925</xdr:colOff>
      <xdr:row>17</xdr:row>
      <xdr:rowOff>76200</xdr:rowOff>
    </xdr:from>
    <xdr:to>
      <xdr:col>16</xdr:col>
      <xdr:colOff>371475</xdr:colOff>
      <xdr:row>28</xdr:row>
      <xdr:rowOff>38099</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200025</xdr:colOff>
      <xdr:row>9</xdr:row>
      <xdr:rowOff>9525</xdr:rowOff>
    </xdr:from>
    <xdr:to>
      <xdr:col>1</xdr:col>
      <xdr:colOff>457200</xdr:colOff>
      <xdr:row>27</xdr:row>
      <xdr:rowOff>114300</xdr:rowOff>
    </xdr:to>
    <mc:AlternateContent xmlns:mc="http://schemas.openxmlformats.org/markup-compatibility/2006" xmlns:a14="http://schemas.microsoft.com/office/drawing/2010/main">
      <mc:Choice Requires="a14">
        <xdr:graphicFrame macro="">
          <xdr:nvGraphicFramePr>
            <xdr:cNvPr id="21" name="Order Date 1"/>
            <xdr:cNvGraphicFramePr>
              <a:graphicFrameLocks/>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200025" y="1857375"/>
              <a:ext cx="866775" cy="35337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200024</xdr:colOff>
      <xdr:row>4</xdr:row>
      <xdr:rowOff>76201</xdr:rowOff>
    </xdr:from>
    <xdr:to>
      <xdr:col>20</xdr:col>
      <xdr:colOff>266699</xdr:colOff>
      <xdr:row>7</xdr:row>
      <xdr:rowOff>95251</xdr:rowOff>
    </xdr:to>
    <mc:AlternateContent xmlns:mc="http://schemas.openxmlformats.org/markup-compatibility/2006" xmlns:a14="http://schemas.microsoft.com/office/drawing/2010/main">
      <mc:Choice Requires="a14">
        <xdr:graphicFrame macro="">
          <xdr:nvGraphicFramePr>
            <xdr:cNvPr id="25"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10563224" y="857251"/>
              <a:ext cx="1895475"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c:userShapes xmlns:c="http://schemas.openxmlformats.org/drawingml/2006/chart">
  <cdr:relSizeAnchor xmlns:cdr="http://schemas.openxmlformats.org/drawingml/2006/chartDrawing">
    <cdr:from>
      <cdr:x>0.44419</cdr:x>
      <cdr:y>0</cdr:y>
    </cdr:from>
    <cdr:to>
      <cdr:x>0.65555</cdr:x>
      <cdr:y>0.21928</cdr:y>
    </cdr:to>
    <cdr:pic>
      <cdr:nvPicPr>
        <cdr:cNvPr id="3"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819275" y="0"/>
          <a:ext cx="865707" cy="451143"/>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saad" refreshedDate="46064.204549768518" createdVersion="4" refreshedVersion="4" minRefreshableVersion="3" recordCount="1084">
  <cacheSource type="worksheet">
    <worksheetSource ref="A1:K1048576" sheet="Sheet1"/>
  </cacheSource>
  <cacheFields count="11">
    <cacheField name="Customer ID" numFmtId="0">
      <sharedItems containsBlank="1" count="1084">
        <s v="C1095"/>
        <s v="C1096"/>
        <s v="C1097"/>
        <s v="C1098"/>
        <s v="C1099"/>
        <s v="C1100"/>
        <s v="C1101"/>
        <s v="C1102"/>
        <s v="C1103"/>
        <s v="C1104"/>
        <s v="C1105"/>
        <s v="C1106"/>
        <s v="C1107"/>
        <s v="C1108"/>
        <s v="C1109"/>
        <s v="C1110"/>
        <s v="C1111"/>
        <s v="C1112"/>
        <s v="C1113"/>
        <s v="C1114"/>
        <s v="C1115"/>
        <s v="C1116"/>
        <s v="C1117"/>
        <s v="C1118"/>
        <s v="C1119"/>
        <s v="C1120"/>
        <s v="C1121"/>
        <s v="C1122"/>
        <s v="C1123"/>
        <s v="C1124"/>
        <s v="C1125"/>
        <s v="C1126"/>
        <s v="C1127"/>
        <s v="C1128"/>
        <s v="C1129"/>
        <s v="C1130"/>
        <s v="C1131"/>
        <s v="C1132"/>
        <s v="C1133"/>
        <s v="C1134"/>
        <s v="C1135"/>
        <s v="C1136"/>
        <s v="C1137"/>
        <s v="C1138"/>
        <s v="C1139"/>
        <s v="C1140"/>
        <s v="C1141"/>
        <s v="C1142"/>
        <s v="C1143"/>
        <s v="C1144"/>
        <s v="C1145"/>
        <s v="C1146"/>
        <s v="C1147"/>
        <s v="C1148"/>
        <s v="C1149"/>
        <s v="C1150"/>
        <s v="C1151"/>
        <s v="C1152"/>
        <s v="C1153"/>
        <s v="C1154"/>
        <s v="C1155"/>
        <s v="C1156"/>
        <s v="C1157"/>
        <s v="C1158"/>
        <s v="C1159"/>
        <s v="C1160"/>
        <s v="C1161"/>
        <s v="C1162"/>
        <s v="C1163"/>
        <s v="C1164"/>
        <s v="C1165"/>
        <s v="C1166"/>
        <s v="C1167"/>
        <s v="C1168"/>
        <s v="C1169"/>
        <s v="C1170"/>
        <s v="C1171"/>
        <s v="C1172"/>
        <s v="C1173"/>
        <s v="C1174"/>
        <s v="C1175"/>
        <s v="C1176"/>
        <s v="C1177"/>
        <s v="C1178"/>
        <s v="C1179"/>
        <s v="C1180"/>
        <s v="C1181"/>
        <s v="C1182"/>
        <s v="C1183"/>
        <s v="C1184"/>
        <s v="C1185"/>
        <s v="C1186"/>
        <s v="C1187"/>
        <s v="C1188"/>
        <s v="C1189"/>
        <s v="C1190"/>
        <s v="C1191"/>
        <s v="C1192"/>
        <s v="C1193"/>
        <s v="C1194"/>
        <s v="C1195"/>
        <s v="C1196"/>
        <s v="C1197"/>
        <s v="C1198"/>
        <s v="C1199"/>
        <s v="C1200"/>
        <s v="C1201"/>
        <s v="C1202"/>
        <s v="C1203"/>
        <s v="C1204"/>
        <s v="C1205"/>
        <s v="C1206"/>
        <s v="C1207"/>
        <s v="C1208"/>
        <s v="C1209"/>
        <s v="C1210"/>
        <s v="C1211"/>
        <s v="C1212"/>
        <s v="C1213"/>
        <s v="C1214"/>
        <s v="C1215"/>
        <s v="C1216"/>
        <s v="C1217"/>
        <s v="C1218"/>
        <s v="C1219"/>
        <s v="C1220"/>
        <s v="C1221"/>
        <s v="C1222"/>
        <s v="C1223"/>
        <s v="C1224"/>
        <s v="C1225"/>
        <s v="C1226"/>
        <s v="C1227"/>
        <s v="C1228"/>
        <s v="C1229"/>
        <s v="C1230"/>
        <s v="C1231"/>
        <s v="C1232"/>
        <s v="C1233"/>
        <s v="C1234"/>
        <s v="C1235"/>
        <s v="C1236"/>
        <s v="C1237"/>
        <s v="C1238"/>
        <s v="C1239"/>
        <s v="C1240"/>
        <s v="C1241"/>
        <s v="C1242"/>
        <s v="C1243"/>
        <s v="C1244"/>
        <s v="C1245"/>
        <s v="C1246"/>
        <s v="C1247"/>
        <s v="C1248"/>
        <s v="C1249"/>
        <s v="C1250"/>
        <s v="C1251"/>
        <s v="C1252"/>
        <s v="C1253"/>
        <s v="C1254"/>
        <s v="C1255"/>
        <s v="C1256"/>
        <s v="C1257"/>
        <s v="C1258"/>
        <s v="C1259"/>
        <s v="C1260"/>
        <s v="C1261"/>
        <s v="C1262"/>
        <s v="C1263"/>
        <s v="C1264"/>
        <s v="C1265"/>
        <s v="C1266"/>
        <s v="C1267"/>
        <s v="C1268"/>
        <s v="C1269"/>
        <s v="C1270"/>
        <s v="C1271"/>
        <s v="C1272"/>
        <s v="C1273"/>
        <s v="C1274"/>
        <s v="C1275"/>
        <s v="C1276"/>
        <s v="C1277"/>
        <s v="C1278"/>
        <s v="C1279"/>
        <s v="C1280"/>
        <s v="C1281"/>
        <s v="C1282"/>
        <s v="C1283"/>
        <s v="C1284"/>
        <s v="C1285"/>
        <s v="C1286"/>
        <s v="C1287"/>
        <s v="C1288"/>
        <s v="C1289"/>
        <s v="C1290"/>
        <s v="C1291"/>
        <s v="C1292"/>
        <s v="C1293"/>
        <s v="C1294"/>
        <s v="C1295"/>
        <s v="C1296"/>
        <s v="C1297"/>
        <s v="C1298"/>
        <s v="C1299"/>
        <s v="C1300"/>
        <s v="C1301"/>
        <s v="C1302"/>
        <s v="C1303"/>
        <s v="C1304"/>
        <s v="C1305"/>
        <s v="C1306"/>
        <s v="C1307"/>
        <s v="C1308"/>
        <s v="C1309"/>
        <s v="C1310"/>
        <s v="C1311"/>
        <s v="C1312"/>
        <s v="C1313"/>
        <s v="C1314"/>
        <s v="C1315"/>
        <s v="C1316"/>
        <s v="C1317"/>
        <s v="C1318"/>
        <s v="C1319"/>
        <s v="C1320"/>
        <s v="C1321"/>
        <s v="C1322"/>
        <s v="C1323"/>
        <s v="C1324"/>
        <s v="C1325"/>
        <s v="C1326"/>
        <s v="C1327"/>
        <s v="C1328"/>
        <s v="C1329"/>
        <s v="C1330"/>
        <s v="C1331"/>
        <s v="C1332"/>
        <s v="C1333"/>
        <s v="C1334"/>
        <s v="C1335"/>
        <s v="C1336"/>
        <s v="C1337"/>
        <s v="C1338"/>
        <s v="C1339"/>
        <s v="C1340"/>
        <s v="C1341"/>
        <s v="C1342"/>
        <s v="C1343"/>
        <s v="C1344"/>
        <s v="C1345"/>
        <s v="C1346"/>
        <s v="C1347"/>
        <s v="C1348"/>
        <s v="C1349"/>
        <s v="C1350"/>
        <s v="C1351"/>
        <s v="C1352"/>
        <s v="C1353"/>
        <s v="C1354"/>
        <s v="C1355"/>
        <s v="C1356"/>
        <s v="C1357"/>
        <s v="C1358"/>
        <s v="C1359"/>
        <s v="C1360"/>
        <s v="C1361"/>
        <s v="C1362"/>
        <s v="C1363"/>
        <s v="C1364"/>
        <s v="C1365"/>
        <s v="C1366"/>
        <s v="C1367"/>
        <s v="C1368"/>
        <s v="C1369"/>
        <s v="C1370"/>
        <s v="C1371"/>
        <s v="C1372"/>
        <s v="C1373"/>
        <s v="C1374"/>
        <s v="C1375"/>
        <s v="C1376"/>
        <s v="C1377"/>
        <s v="C1378"/>
        <s v="C1379"/>
        <s v="C1380"/>
        <s v="C1381"/>
        <s v="C1382"/>
        <s v="C1383"/>
        <s v="C1384"/>
        <s v="C1385"/>
        <s v="C1386"/>
        <s v="C1387"/>
        <s v="C1388"/>
        <s v="C1389"/>
        <s v="C1390"/>
        <s v="C1391"/>
        <s v="C1392"/>
        <s v="C1393"/>
        <s v="C1394"/>
        <s v="C1395"/>
        <s v="C1396"/>
        <s v="C1397"/>
        <s v="C1398"/>
        <s v="C1399"/>
        <s v="C1400"/>
        <s v="C1401"/>
        <s v="C1402"/>
        <s v="C1403"/>
        <s v="C1404"/>
        <s v="C1405"/>
        <s v="C1406"/>
        <s v="C1407"/>
        <s v="C1408"/>
        <s v="C1409"/>
        <s v="C1410"/>
        <s v="C1411"/>
        <s v="C1412"/>
        <s v="C1413"/>
        <s v="C1414"/>
        <s v="C1415"/>
        <s v="C1416"/>
        <s v="C1417"/>
        <s v="C1418"/>
        <s v="C1419"/>
        <s v="C1420"/>
        <s v="C1421"/>
        <s v="C1422"/>
        <s v="C1423"/>
        <s v="C1424"/>
        <s v="C1425"/>
        <s v="C1426"/>
        <s v="C1427"/>
        <s v="C1428"/>
        <s v="C1429"/>
        <s v="C1430"/>
        <s v="C1431"/>
        <s v="C1432"/>
        <s v="C1433"/>
        <s v="C1434"/>
        <s v="C1435"/>
        <s v="C1436"/>
        <s v="C1437"/>
        <s v="C1438"/>
        <s v="C1439"/>
        <s v="C1440"/>
        <s v="C1441"/>
        <s v="C1442"/>
        <s v="C1443"/>
        <s v="C1444"/>
        <s v="C1445"/>
        <s v="C1446"/>
        <s v="C1447"/>
        <s v="C1448"/>
        <s v="C1449"/>
        <s v="C1450"/>
        <s v="C1451"/>
        <s v="C1452"/>
        <s v="C1453"/>
        <s v="C1454"/>
        <s v="C1455"/>
        <s v="C1456"/>
        <s v="C1457"/>
        <s v="C1458"/>
        <s v="C1459"/>
        <s v="C1460"/>
        <s v="C1461"/>
        <s v="C1462"/>
        <s v="C1463"/>
        <s v="C1464"/>
        <s v="C1465"/>
        <s v="C1466"/>
        <s v="C1467"/>
        <s v="C1468"/>
        <s v="C1469"/>
        <s v="C1470"/>
        <s v="C1471"/>
        <s v="C1472"/>
        <s v="C1473"/>
        <s v="C1474"/>
        <s v="C1475"/>
        <s v="C1476"/>
        <s v="C1477"/>
        <s v="C1478"/>
        <s v="C1479"/>
        <s v="C1480"/>
        <s v="C1481"/>
        <s v="C1482"/>
        <s v="C1483"/>
        <s v="C1484"/>
        <s v="C1485"/>
        <s v="C1486"/>
        <s v="C1487"/>
        <s v="C1488"/>
        <s v="C1489"/>
        <s v="C1490"/>
        <s v="C1491"/>
        <s v="C1492"/>
        <s v="C1493"/>
        <s v="C1494"/>
        <s v="C1495"/>
        <s v="C1496"/>
        <s v="C1497"/>
        <s v="C1498"/>
        <s v="C1499"/>
        <s v="C1500"/>
        <s v="C1501"/>
        <s v="C1502"/>
        <s v="C1503"/>
        <s v="C1504"/>
        <s v="C1505"/>
        <s v="C1506"/>
        <s v="C1507"/>
        <s v="C1508"/>
        <s v="C1509"/>
        <s v="C1510"/>
        <s v="C1511"/>
        <s v="C1512"/>
        <s v="C1513"/>
        <s v="C1514"/>
        <s v="C1515"/>
        <s v="C1516"/>
        <s v="C1517"/>
        <s v="C1518"/>
        <s v="C1519"/>
        <s v="C1520"/>
        <s v="C1521"/>
        <s v="C1522"/>
        <s v="C1523"/>
        <s v="C1524"/>
        <s v="C1525"/>
        <s v="C1526"/>
        <s v="C1527"/>
        <s v="C1528"/>
        <s v="C1529"/>
        <s v="C1530"/>
        <s v="C1531"/>
        <s v="C1532"/>
        <s v="C1533"/>
        <s v="C1534"/>
        <s v="C1535"/>
        <s v="C1536"/>
        <s v="C1537"/>
        <s v="C1538"/>
        <s v="C1539"/>
        <s v="C1540"/>
        <s v="C1541"/>
        <s v="C1542"/>
        <s v="C1543"/>
        <s v="C1544"/>
        <s v="C1545"/>
        <s v="C1546"/>
        <s v="C1547"/>
        <s v="C1548"/>
        <s v="C1549"/>
        <s v="C1550"/>
        <s v="C1551"/>
        <s v="C1552"/>
        <s v="C1553"/>
        <s v="C1554"/>
        <s v="C1555"/>
        <s v="C1556"/>
        <s v="C1557"/>
        <s v="C1558"/>
        <s v="C1559"/>
        <s v="C1560"/>
        <s v="C1561"/>
        <s v="C1562"/>
        <s v="C1563"/>
        <s v="C1564"/>
        <s v="C1565"/>
        <s v="C1566"/>
        <s v="C1567"/>
        <s v="C1568"/>
        <s v="C1569"/>
        <s v="C1570"/>
        <s v="C1571"/>
        <s v="C1572"/>
        <s v="C1573"/>
        <s v="C1574"/>
        <s v="C1575"/>
        <s v="C1576"/>
        <s v="C1577"/>
        <s v="C1578"/>
        <s v="C1579"/>
        <s v="C1580"/>
        <s v="C1581"/>
        <s v="C1582"/>
        <s v="C1583"/>
        <s v="C1584"/>
        <s v="C1585"/>
        <s v="C1586"/>
        <s v="C1587"/>
        <s v="C1588"/>
        <s v="C1589"/>
        <s v="C1590"/>
        <s v="C1591"/>
        <s v="C1592"/>
        <s v="C1593"/>
        <s v="C1594"/>
        <s v="C1595"/>
        <s v="C1596"/>
        <s v="C1597"/>
        <s v="C1598"/>
        <s v="C1599"/>
        <s v="C1600"/>
        <s v="C1601"/>
        <s v="C1602"/>
        <s v="C1603"/>
        <s v="C1604"/>
        <s v="C1605"/>
        <s v="C1606"/>
        <s v="C1607"/>
        <s v="C1608"/>
        <s v="C1609"/>
        <s v="C1610"/>
        <s v="C1611"/>
        <s v="C1612"/>
        <s v="C1613"/>
        <s v="C1614"/>
        <s v="C1615"/>
        <s v="C1616"/>
        <s v="C1617"/>
        <s v="C1618"/>
        <s v="C1619"/>
        <s v="C1620"/>
        <s v="C1621"/>
        <s v="C1622"/>
        <s v="C1623"/>
        <s v="C1624"/>
        <s v="C1625"/>
        <s v="C1626"/>
        <s v="C1627"/>
        <s v="C1628"/>
        <s v="C1629"/>
        <s v="C1630"/>
        <s v="C1631"/>
        <s v="C1632"/>
        <s v="C1633"/>
        <s v="C1634"/>
        <s v="C1635"/>
        <s v="C1636"/>
        <s v="C1637"/>
        <s v="C1638"/>
        <s v="C1639"/>
        <s v="C1640"/>
        <s v="C1641"/>
        <s v="C1642"/>
        <s v="C1643"/>
        <s v="C1644"/>
        <s v="C1645"/>
        <s v="C1646"/>
        <s v="C1647"/>
        <s v="C1648"/>
        <s v="C1649"/>
        <s v="C1650"/>
        <s v="C1651"/>
        <s v="C1652"/>
        <s v="C1653"/>
        <s v="C1654"/>
        <s v="C1655"/>
        <s v="C1656"/>
        <s v="C1657"/>
        <s v="C1658"/>
        <s v="C1659"/>
        <s v="C1660"/>
        <s v="C1661"/>
        <s v="C1662"/>
        <s v="C1663"/>
        <s v="C1664"/>
        <s v="C1665"/>
        <s v="C1666"/>
        <s v="C1667"/>
        <s v="C1668"/>
        <s v="C1669"/>
        <s v="C1670"/>
        <s v="C1671"/>
        <s v="C1672"/>
        <s v="C1673"/>
        <s v="C1674"/>
        <s v="C1675"/>
        <s v="C1676"/>
        <s v="C1677"/>
        <s v="C1678"/>
        <s v="C1679"/>
        <s v="C1680"/>
        <s v="C1681"/>
        <s v="C1682"/>
        <s v="C1683"/>
        <s v="C1684"/>
        <s v="C1685"/>
        <s v="C1686"/>
        <s v="C1687"/>
        <s v="C1688"/>
        <s v="C1689"/>
        <s v="C1690"/>
        <s v="C1691"/>
        <s v="C1692"/>
        <s v="C1693"/>
        <s v="C1694"/>
        <s v="C1695"/>
        <s v="C1696"/>
        <s v="C1697"/>
        <s v="C1698"/>
        <s v="C1699"/>
        <s v="C1700"/>
        <s v="C1701"/>
        <s v="C1702"/>
        <s v="C1703"/>
        <s v="C1704"/>
        <s v="C1705"/>
        <s v="C1706"/>
        <s v="C1707"/>
        <s v="C1708"/>
        <s v="C1709"/>
        <s v="C1710"/>
        <s v="C1711"/>
        <s v="C1712"/>
        <s v="C1713"/>
        <s v="C1714"/>
        <s v="C1715"/>
        <s v="C1716"/>
        <s v="C1717"/>
        <s v="C1718"/>
        <s v="C1719"/>
        <s v="C1720"/>
        <s v="C1721"/>
        <s v="C1722"/>
        <s v="C1723"/>
        <s v="C1724"/>
        <s v="C1725"/>
        <s v="C1726"/>
        <s v="C1727"/>
        <s v="C1728"/>
        <s v="C1729"/>
        <s v="C1730"/>
        <s v="C1731"/>
        <s v="C1732"/>
        <s v="C1733"/>
        <s v="C1734"/>
        <s v="C1735"/>
        <s v="C1736"/>
        <s v="C1737"/>
        <s v="C1738"/>
        <s v="C1739"/>
        <s v="C1740"/>
        <s v="C1741"/>
        <s v="C1742"/>
        <s v="C1743"/>
        <s v="C1744"/>
        <s v="C1745"/>
        <s v="C1746"/>
        <s v="C1747"/>
        <s v="C1748"/>
        <s v="C1749"/>
        <s v="C1750"/>
        <s v="C1751"/>
        <s v="C1752"/>
        <s v="C1753"/>
        <s v="C1754"/>
        <s v="C1755"/>
        <s v="C1756"/>
        <s v="C1757"/>
        <s v="C1758"/>
        <s v="C1759"/>
        <s v="C1760"/>
        <s v="C1761"/>
        <s v="C1762"/>
        <s v="C1763"/>
        <s v="C1764"/>
        <s v="C1765"/>
        <s v="C1766"/>
        <s v="C1767"/>
        <s v="C1768"/>
        <s v="C1769"/>
        <s v="C1770"/>
        <s v="C1771"/>
        <s v="C1772"/>
        <s v="C1773"/>
        <s v="C1774"/>
        <s v="C1775"/>
        <s v="C1776"/>
        <s v="C1777"/>
        <s v="C1778"/>
        <s v="C1779"/>
        <s v="C1780"/>
        <s v="C1781"/>
        <s v="C1782"/>
        <s v="C1783"/>
        <s v="C1784"/>
        <s v="C1785"/>
        <s v="C1786"/>
        <s v="C1787"/>
        <s v="C1788"/>
        <s v="C1789"/>
        <s v="C1790"/>
        <s v="C1791"/>
        <s v="C1792"/>
        <s v="C1793"/>
        <s v="C1794"/>
        <s v="C1795"/>
        <s v="C1796"/>
        <s v="C1797"/>
        <s v="C1798"/>
        <s v="C1799"/>
        <s v="C1800"/>
        <s v="C1801"/>
        <s v="C1802"/>
        <s v="C1803"/>
        <s v="C1804"/>
        <s v="C1805"/>
        <s v="C1806"/>
        <s v="C1807"/>
        <s v="C1808"/>
        <s v="C1809"/>
        <s v="C1810"/>
        <s v="C1811"/>
        <s v="C1812"/>
        <s v="C1813"/>
        <s v="C1814"/>
        <s v="C1815"/>
        <s v="C1816"/>
        <s v="C1817"/>
        <s v="C1818"/>
        <s v="C1819"/>
        <s v="C1820"/>
        <s v="C1821"/>
        <s v="C1822"/>
        <s v="C1823"/>
        <s v="C1824"/>
        <s v="C1825"/>
        <s v="C1826"/>
        <s v="C1827"/>
        <s v="C1828"/>
        <s v="C1829"/>
        <s v="C1830"/>
        <s v="C1831"/>
        <s v="C1832"/>
        <s v="C1833"/>
        <s v="C1834"/>
        <s v="C1835"/>
        <s v="C1836"/>
        <s v="C1837"/>
        <s v="C1838"/>
        <s v="C1839"/>
        <s v="C1840"/>
        <s v="C1841"/>
        <s v="C1842"/>
        <s v="C1843"/>
        <s v="C1844"/>
        <s v="C1845"/>
        <s v="C1846"/>
        <s v="C1847"/>
        <s v="C1848"/>
        <s v="C1849"/>
        <s v="C1850"/>
        <s v="C1851"/>
        <s v="C1852"/>
        <s v="C1853"/>
        <s v="C1854"/>
        <s v="C1855"/>
        <s v="C1856"/>
        <s v="C1857"/>
        <s v="C1858"/>
        <s v="C1859"/>
        <s v="C1860"/>
        <s v="C1861"/>
        <s v="C1862"/>
        <s v="C1863"/>
        <s v="C1864"/>
        <s v="C1865"/>
        <s v="C1866"/>
        <s v="C1867"/>
        <s v="C1868"/>
        <s v="C1869"/>
        <s v="C1870"/>
        <s v="C1871"/>
        <s v="C1872"/>
        <s v="C1873"/>
        <s v="C1874"/>
        <s v="C1875"/>
        <s v="C1876"/>
        <s v="C1877"/>
        <s v="C1878"/>
        <s v="C1879"/>
        <s v="C1880"/>
        <s v="C1881"/>
        <s v="C1882"/>
        <s v="C1883"/>
        <s v="C1884"/>
        <s v="C1885"/>
        <s v="C1886"/>
        <s v="C1887"/>
        <s v="C1888"/>
        <s v="C1889"/>
        <s v="C1890"/>
        <s v="C1891"/>
        <s v="C1892"/>
        <s v="C1893"/>
        <s v="C1894"/>
        <s v="C1895"/>
        <s v="C1896"/>
        <s v="C1897"/>
        <s v="C1898"/>
        <s v="C1899"/>
        <s v="C1900"/>
        <s v="C1901"/>
        <s v="C1902"/>
        <s v="C1903"/>
        <s v="C1904"/>
        <s v="C1905"/>
        <s v="C1906"/>
        <s v="C1907"/>
        <s v="C1908"/>
        <s v="C1909"/>
        <s v="C1910"/>
        <s v="C1911"/>
        <s v="C1912"/>
        <s v="C1913"/>
        <s v="C1914"/>
        <s v="C1915"/>
        <s v="C1916"/>
        <s v="C1917"/>
        <s v="C1918"/>
        <s v="C1919"/>
        <s v="C1920"/>
        <s v="C1921"/>
        <s v="C1922"/>
        <s v="C1923"/>
        <s v="C1924"/>
        <s v="C1925"/>
        <s v="C1926"/>
        <s v="C1927"/>
        <s v="C1928"/>
        <s v="C1929"/>
        <s v="C1930"/>
        <s v="C1931"/>
        <s v="C1932"/>
        <s v="C1933"/>
        <s v="C1934"/>
        <s v="C1935"/>
        <s v="C1936"/>
        <s v="C1937"/>
        <s v="C1938"/>
        <s v="C1939"/>
        <s v="C1940"/>
        <s v="C1941"/>
        <s v="C1942"/>
        <s v="C1943"/>
        <s v="C1944"/>
        <s v="C1945"/>
        <s v="C1946"/>
        <s v="C1947"/>
        <s v="C1948"/>
        <s v="C1949"/>
        <s v="C1950"/>
        <s v="C1951"/>
        <s v="C1952"/>
        <s v="C1953"/>
        <s v="C1954"/>
        <s v="C1955"/>
        <s v="C1956"/>
        <s v="C1957"/>
        <s v="C1958"/>
        <s v="C1959"/>
        <s v="C1960"/>
        <s v="C1961"/>
        <s v="C1962"/>
        <s v="C1963"/>
        <s v="C1964"/>
        <s v="C1965"/>
        <s v="C1966"/>
        <s v="C1967"/>
        <s v="C1968"/>
        <s v="C1969"/>
        <s v="C1970"/>
        <s v="C1971"/>
        <s v="C1972"/>
        <s v="C1973"/>
        <s v="C1974"/>
        <s v="C1975"/>
        <s v="C1976"/>
        <s v="C1977"/>
        <s v="C1978"/>
        <s v="C1979"/>
        <s v="C1980"/>
        <s v="C1981"/>
        <s v="C1982"/>
        <s v="C1983"/>
        <s v="C1984"/>
        <s v="C1985"/>
        <s v="C1986"/>
        <s v="C1987"/>
        <s v="C1988"/>
        <s v="C1989"/>
        <s v="C1990"/>
        <s v="C1991"/>
        <s v="C1992"/>
        <s v="C1993"/>
        <s v="C1994"/>
        <s v="C1995"/>
        <s v="C1996"/>
        <s v="C1997"/>
        <s v="C1998"/>
        <s v="C1999"/>
        <s v="C2000"/>
        <s v="C2001"/>
        <s v="C2002"/>
        <s v="C2003"/>
        <s v="C2004"/>
        <s v="C2005"/>
        <s v="C2006"/>
        <s v="C2007"/>
        <s v="C2008"/>
        <s v="C2009"/>
        <s v="C2010"/>
        <s v="C2011"/>
        <s v="C2012"/>
        <s v="C2013"/>
        <s v="C2014"/>
        <s v="C2015"/>
        <s v="C2016"/>
        <s v="C2017"/>
        <s v="C2018"/>
        <s v="C2019"/>
        <s v="C2020"/>
        <s v="C2021"/>
        <s v="C2022"/>
        <s v="C2023"/>
        <s v="C2024"/>
        <s v="C2025"/>
        <s v="C2026"/>
        <s v="C2027"/>
        <s v="C2028"/>
        <s v="C2029"/>
        <s v="C2030"/>
        <s v="C2031"/>
        <s v="C2032"/>
        <s v="C2033"/>
        <s v="C2034"/>
        <s v="C2035"/>
        <s v="C2036"/>
        <s v="C2037"/>
        <s v="C2038"/>
        <s v="C2039"/>
        <s v="C2040"/>
        <s v="C2041"/>
        <s v="C2042"/>
        <s v="C2043"/>
        <s v="C2044"/>
        <s v="C2045"/>
        <s v="C2046"/>
        <s v="C2047"/>
        <s v="C2048"/>
        <s v="C2049"/>
        <s v="C2050"/>
        <s v="C2051"/>
        <s v="C2052"/>
        <s v="C2053"/>
        <s v="C2054"/>
        <s v="C2055"/>
        <s v="C2056"/>
        <s v="C2057"/>
        <s v="C2058"/>
        <s v="C2059"/>
        <s v="C2060"/>
        <s v="C2061"/>
        <s v="C2062"/>
        <s v="C2063"/>
        <s v="C2064"/>
        <s v="C2065"/>
        <s v="C2066"/>
        <s v="C2067"/>
        <s v="C2068"/>
        <s v="C2069"/>
        <s v="C2070"/>
        <s v="C2071"/>
        <s v="C2072"/>
        <s v="C2073"/>
        <s v="C2074"/>
        <s v="C2075"/>
        <s v="C2076"/>
        <s v="C2077"/>
        <s v="C2078"/>
        <s v="C2079"/>
        <s v="C2080"/>
        <s v="C2081"/>
        <s v="C2082"/>
        <s v="C2083"/>
        <s v="C2084"/>
        <s v="C2085"/>
        <s v="C2086"/>
        <s v="C2087"/>
        <s v="C2088"/>
        <s v="C2089"/>
        <s v="C2090"/>
        <s v="C2091"/>
        <s v="C2092"/>
        <s v="C2093"/>
        <s v="C2094"/>
        <s v="C2095"/>
        <s v="C2096"/>
        <s v="C2097"/>
        <s v="C2098"/>
        <s v="C2099"/>
        <s v="C2100"/>
        <s v="C2101"/>
        <s v="C2102"/>
        <s v="C2103"/>
        <s v="C2104"/>
        <s v="C2105"/>
        <s v="C2106"/>
        <s v="C2107"/>
        <s v="C2108"/>
        <s v="C2109"/>
        <s v="C2110"/>
        <s v="C2111"/>
        <s v="C2112"/>
        <s v="C2113"/>
        <s v="C2114"/>
        <s v="C2115"/>
        <s v="C2116"/>
        <s v="C2117"/>
        <s v="C2118"/>
        <s v="C2119"/>
        <s v="C2120"/>
        <s v="C2121"/>
        <s v="C2122"/>
        <s v="C2123"/>
        <s v="C2124"/>
        <s v="C2125"/>
        <s v="C2126"/>
        <s v="C2127"/>
        <s v="C2128"/>
        <s v="C2129"/>
        <s v="C2130"/>
        <s v="C2131"/>
        <s v="C2132"/>
        <s v="C2133"/>
        <s v="C2134"/>
        <s v="C2135"/>
        <s v="C2136"/>
        <s v="C2137"/>
        <s v="C2138"/>
        <s v="C2139"/>
        <s v="C2140"/>
        <s v="C2141"/>
        <s v="C2142"/>
        <s v="C2143"/>
        <s v="C2144"/>
        <s v="C2145"/>
        <s v="C2146"/>
        <s v="C2147"/>
        <s v="C2148"/>
        <s v="C2149"/>
        <s v="C2150"/>
        <s v="C2151"/>
        <s v="C2152"/>
        <s v="C2153"/>
        <s v="C2154"/>
        <s v="C2155"/>
        <s v="C2156"/>
        <s v="C2157"/>
        <s v="C2158"/>
        <s v="C2159"/>
        <s v="C2160"/>
        <s v="C2161"/>
        <s v="C2162"/>
        <s v="C2163"/>
        <s v="C2164"/>
        <s v="C2165"/>
        <s v="C2166"/>
        <s v="C2167"/>
        <s v="C2168"/>
        <s v="C2169"/>
        <s v="C2170"/>
        <s v="C2171"/>
        <s v="C2172"/>
        <s v="C2173"/>
        <s v="C2174"/>
        <s v="C2175"/>
        <s v="C2176"/>
        <s v="C2177"/>
        <m/>
      </sharedItems>
    </cacheField>
    <cacheField name="Order ID" numFmtId="2">
      <sharedItems containsBlank="1"/>
    </cacheField>
    <cacheField name="Product Name" numFmtId="0">
      <sharedItems containsBlank="1" count="13">
        <s v="Ti-84 Plus C Se"/>
        <s v="Ti-83 Plus SE"/>
        <s v="ti-84 plus ce"/>
        <s v="TI-84 PLUS CE PYTHON"/>
        <s v="ti-nspire cx"/>
        <s v="ti-84 plus"/>
        <s v="TI-83 plus"/>
        <s v="ti-89 titanium"/>
        <s v="TI-89"/>
        <s v="Ti-nspire CX II"/>
        <s v="TI-NSPIRE CX CAS"/>
        <s v="ti-nspire CX II Cas"/>
        <m/>
      </sharedItems>
    </cacheField>
    <cacheField name="Product Category" numFmtId="0">
      <sharedItems containsBlank="1" count="3">
        <s v="Graphing Calculator"/>
        <s v="CAS Calculator"/>
        <m/>
      </sharedItems>
    </cacheField>
    <cacheField name="Quantity" numFmtId="1">
      <sharedItems containsString="0" containsBlank="1" containsNumber="1" containsInteger="1" minValue="1" maxValue="4" count="5">
        <n v="1"/>
        <n v="4"/>
        <n v="3"/>
        <n v="2"/>
        <m/>
      </sharedItems>
    </cacheField>
    <cacheField name="Unit Price" numFmtId="165">
      <sharedItems containsString="0" containsBlank="1" containsNumber="1" containsInteger="1" minValue="85" maxValue="220" count="12">
        <n v="160"/>
        <n v="90"/>
        <n v="130"/>
        <n v="135"/>
        <n v="190"/>
        <n v="125"/>
        <n v="85"/>
        <n v="220"/>
        <n v="200"/>
        <n v="210"/>
        <n v="215"/>
        <m/>
      </sharedItems>
    </cacheField>
    <cacheField name="Discount" numFmtId="1">
      <sharedItems containsString="0" containsBlank="1" containsNumber="1" containsInteger="1" minValue="0" maxValue="10" count="4">
        <n v="0"/>
        <n v="5"/>
        <n v="10"/>
        <m/>
      </sharedItems>
    </cacheField>
    <cacheField name="Total Value" numFmtId="164">
      <sharedItems containsString="0" containsBlank="1" containsNumber="1" containsInteger="1" minValue="75" maxValue="800" count="53">
        <n v="160"/>
        <n v="90"/>
        <n v="130"/>
        <n v="520"/>
        <n v="400"/>
        <n v="260"/>
        <n v="370"/>
        <n v="185"/>
        <n v="380"/>
        <n v="190"/>
        <n v="120"/>
        <n v="265"/>
        <n v="135"/>
        <n v="270"/>
        <n v="125"/>
        <n v="255"/>
        <n v="210"/>
        <n v="250"/>
        <n v="200"/>
        <n v="440"/>
        <n v="390"/>
        <n v="600"/>
        <n v="170"/>
        <n v="115"/>
        <n v="565"/>
        <n v="205"/>
        <n v="85"/>
        <n v="430"/>
        <n v="375"/>
        <n v="395"/>
        <n v="420"/>
        <n v="180"/>
        <n v="405"/>
        <n v="410"/>
        <n v="75"/>
        <n v="215"/>
        <n v="800"/>
        <n v="645"/>
        <n v="515"/>
        <n v="150"/>
        <n v="220"/>
        <n v="760"/>
        <n v="480"/>
        <n v="155"/>
        <n v="570"/>
        <n v="530"/>
        <n v="660"/>
        <n v="750"/>
        <n v="630"/>
        <n v="595"/>
        <n v="495"/>
        <n v="385"/>
        <m/>
      </sharedItems>
    </cacheField>
    <cacheField name="Order Date" numFmtId="14">
      <sharedItems containsDate="1" containsBlank="1" containsMixedTypes="1" minDate="2023-01-01T00:00:00" maxDate="2023-12-12T00:00:00" count="258">
        <d v="2023-01-01T00:00:00"/>
        <d v="2023-03-01T00:00:00"/>
        <d v="2023-04-01T00:00:00"/>
        <d v="2023-05-01T00:00:00"/>
        <d v="2023-06-01T00:00:00"/>
        <d v="2023-09-01T00:00:00"/>
        <d v="2023-10-01T00:00:00"/>
        <d v="2023-11-01T00:00:00"/>
        <d v="2023-12-01T00:00:00"/>
        <s v="13/1/2023 "/>
        <s v="15/1/2023 "/>
        <s v="17/1/2023 "/>
        <s v="18/1/2023 "/>
        <s v="20/1/2023 "/>
        <s v="22/1/2023 "/>
        <s v="23/1/2023 "/>
        <s v="25/1/2023 "/>
        <s v="26/1/2023 "/>
        <s v="27/1/2023 "/>
        <s v="29/1/2023 "/>
        <s v="30/1/2023 "/>
        <s v="31/1/2023 "/>
        <d v="2023-03-02T00:00:00"/>
        <d v="2023-06-02T00:00:00"/>
        <d v="2023-07-02T00:00:00"/>
        <d v="2023-08-02T00:00:00"/>
        <d v="2023-09-02T00:00:00"/>
        <d v="2023-12-02T00:00:00"/>
        <s v="15/2/2023 "/>
        <s v="17/2/2023 "/>
        <s v="18/2/2023 "/>
        <s v="19/2/2023 "/>
        <s v="20/2/2023 "/>
        <s v="21/2/2023 "/>
        <s v="22/2/2023 "/>
        <s v="23/2/2023 "/>
        <s v="26/2/2023 "/>
        <s v="27/2/2023 "/>
        <s v="28/2/2023 "/>
        <d v="2023-01-03T00:00:00"/>
        <d v="2023-05-03T00:00:00"/>
        <d v="2023-06-03T00:00:00"/>
        <d v="2023-07-03T00:00:00"/>
        <d v="2023-09-03T00:00:00"/>
        <d v="2023-10-03T00:00:00"/>
        <d v="2023-11-03T00:00:00"/>
        <d v="2023-12-03T00:00:00"/>
        <s v="14/3/2023 "/>
        <s v="15/3/2023 "/>
        <s v="16/3/2023 "/>
        <s v="17/3/2023 "/>
        <s v="18/3/2023 "/>
        <s v="20/3/2023 "/>
        <s v="21/3/2023 "/>
        <s v="22/3/2023 "/>
        <s v="23/3/2023 "/>
        <s v="24/3/2023 "/>
        <s v="26/3/2023 "/>
        <s v="27/3/2023 "/>
        <s v="29/3/2023 "/>
        <s v="30/3/2023 "/>
        <s v="31/3/2023 "/>
        <d v="2023-01-04T00:00:00"/>
        <d v="2023-02-04T00:00:00"/>
        <d v="2023-04-04T00:00:00"/>
        <d v="2023-07-04T00:00:00"/>
        <d v="2023-08-04T00:00:00"/>
        <d v="2023-09-04T00:00:00"/>
        <d v="2023-10-04T00:00:00"/>
        <d v="2023-11-04T00:00:00"/>
        <s v="13/4/2023 "/>
        <s v="14/4/2023 "/>
        <s v="16/4/2023 "/>
        <s v="17/4/2023 "/>
        <s v="18/4/2023 "/>
        <s v="19/4/2023 "/>
        <s v="20/4/2023 "/>
        <s v="22/4/2023 "/>
        <s v="23/4/2023 "/>
        <s v="24/4/2023 "/>
        <s v="25/4/2023 "/>
        <s v="26/4/2023 "/>
        <s v="27/4/2023 "/>
        <s v="28/4/2023 "/>
        <s v="30/4/2023 "/>
        <d v="2023-01-05T00:00:00"/>
        <d v="2023-02-05T00:00:00"/>
        <d v="2023-03-05T00:00:00"/>
        <d v="2023-04-05T00:00:00"/>
        <d v="2023-06-05T00:00:00"/>
        <d v="2023-07-05T00:00:00"/>
        <d v="2023-09-05T00:00:00"/>
        <d v="2023-10-05T00:00:00"/>
        <d v="2023-11-05T00:00:00"/>
        <d v="2023-12-05T00:00:00"/>
        <s v="13/5/2023 "/>
        <s v="14/5/2023 "/>
        <s v="15/5/2023 "/>
        <s v="16/5/2023 "/>
        <s v="17/5/2023 "/>
        <s v="20/5/2023 "/>
        <s v="21/5/2023 "/>
        <s v="23/5/2023 "/>
        <s v="24/5/2023 "/>
        <s v="27/5/2023 "/>
        <s v="29/5/2023 "/>
        <s v="30/5/2023 "/>
        <s v="31/5/2023 "/>
        <d v="2023-01-06T00:00:00"/>
        <d v="2023-02-06T00:00:00"/>
        <d v="2023-04-06T00:00:00"/>
        <d v="2023-05-06T00:00:00"/>
        <d v="2023-06-06T00:00:00"/>
        <d v="2023-08-06T00:00:00"/>
        <d v="2023-09-06T00:00:00"/>
        <s v="13/6/2023 "/>
        <s v="15/6/2023 "/>
        <s v="16/6/2023 "/>
        <s v="18/6/2023 "/>
        <s v="20/6/2023 "/>
        <s v="21/6/2023 "/>
        <s v="23/6/2023 "/>
        <s v="24/6/2023 "/>
        <s v="25/6/2023 "/>
        <s v="26/6/2023 "/>
        <s v="27/6/2023 "/>
        <s v="28/6/2023 "/>
        <s v="29/6/2023 "/>
        <s v="30/6/2023 "/>
        <d v="2023-01-07T00:00:00"/>
        <d v="2023-05-07T00:00:00"/>
        <d v="2023-08-07T00:00:00"/>
        <d v="2023-11-07T00:00:00"/>
        <d v="2023-12-07T00:00:00"/>
        <s v="13/7/2023 "/>
        <s v="14/7/2023 "/>
        <s v="15/7/2023 "/>
        <s v="16/7/2023 "/>
        <s v="17/7/2023 "/>
        <s v="18/7/2023 "/>
        <s v="19/7/2023 "/>
        <s v="20/7/2023 "/>
        <s v="21/7/2023 "/>
        <s v="22/7/2023 "/>
        <s v="23/7/2023 "/>
        <s v="24/7/2023 "/>
        <s v="25/7/2023 "/>
        <s v="26/7/2023 "/>
        <s v="27/7/2023 "/>
        <s v="28/7/2023 "/>
        <s v="29/7/2023 "/>
        <s v="30/7/2023 "/>
        <s v="31/7/2023 "/>
        <d v="2023-01-08T00:00:00"/>
        <d v="2023-02-08T00:00:00"/>
        <d v="2023-03-08T00:00:00"/>
        <d v="2023-06-08T00:00:00"/>
        <d v="2023-07-08T00:00:00"/>
        <d v="2023-08-08T00:00:00"/>
        <d v="2023-09-08T00:00:00"/>
        <d v="2023-10-08T00:00:00"/>
        <d v="2023-11-08T00:00:00"/>
        <d v="2023-12-08T00:00:00"/>
        <s v="13/8/2023 "/>
        <s v="15/8/2023 "/>
        <s v="17/8/2023 "/>
        <s v="18/8/2023 "/>
        <s v="19/8/2023 "/>
        <s v="20/8/2023 "/>
        <s v="21/8/2023 "/>
        <s v="23/8/2023 "/>
        <s v="26/8/2023 "/>
        <s v="27/8/2023 "/>
        <s v="29/8/2023 "/>
        <d v="2023-01-09T00:00:00"/>
        <d v="2023-02-09T00:00:00"/>
        <d v="2023-03-09T00:00:00"/>
        <d v="2023-05-09T00:00:00"/>
        <d v="2023-06-09T00:00:00"/>
        <d v="2023-07-09T00:00:00"/>
        <d v="2023-08-09T00:00:00"/>
        <d v="2023-10-09T00:00:00"/>
        <d v="2023-11-09T00:00:00"/>
        <d v="2023-12-09T00:00:00"/>
        <s v="13/9/2023 "/>
        <s v="15/9/2023 "/>
        <s v="16/9/2023 "/>
        <s v="17/9/2023 "/>
        <s v="18/9/2023 "/>
        <s v="19/9/2023 "/>
        <s v="20/9/2023 "/>
        <s v="24/9/2023 "/>
        <s v="25/9/2023 "/>
        <s v="26/9/2023 "/>
        <s v="27/9/2023 "/>
        <s v="28/9/2023 "/>
        <s v="29/9/2023 "/>
        <s v="30/9/2023 "/>
        <d v="2023-01-10T00:00:00"/>
        <d v="2023-02-10T00:00:00"/>
        <d v="2023-03-10T00:00:00"/>
        <d v="2023-04-10T00:00:00"/>
        <d v="2023-06-10T00:00:00"/>
        <d v="2023-08-10T00:00:00"/>
        <d v="2023-11-10T00:00:00"/>
        <s v="13/10/2023 "/>
        <s v="14/10/2023 "/>
        <s v="15/10/2023 "/>
        <s v="16/10/2023 "/>
        <s v="17/10/2023 "/>
        <s v="18/10/2023 "/>
        <s v="19/10/2023 "/>
        <s v="20/10/2023 "/>
        <s v="21/10/2023 "/>
        <s v="25/10/2023 "/>
        <s v="26/10/2023 "/>
        <s v="27/10/2023 "/>
        <s v="28/10/2023 "/>
        <s v="30/10/2023 "/>
        <d v="2023-02-11T00:00:00"/>
        <d v="2023-04-11T00:00:00"/>
        <d v="2023-05-11T00:00:00"/>
        <d v="2023-07-11T00:00:00"/>
        <d v="2023-08-11T00:00:00"/>
        <d v="2023-09-11T00:00:00"/>
        <d v="2023-10-11T00:00:00"/>
        <d v="2023-11-11T00:00:00"/>
        <d v="2023-12-11T00:00:00"/>
        <s v="13/11/2023 "/>
        <s v="14/11/2023 "/>
        <s v="15/11/2023 "/>
        <s v="16/11/2023 "/>
        <s v="17/11/2023 "/>
        <s v="18/11/2023 "/>
        <s v="19/11/2023 "/>
        <s v="20/11/2023 "/>
        <s v="21/11/2023 "/>
        <s v="22/11/2023 "/>
        <s v="24/11/2023 "/>
        <s v="25/11/2023 "/>
        <s v="27/11/2023 "/>
        <s v="30/11/2023 "/>
        <d v="2023-01-12T00:00:00"/>
        <d v="2023-03-12T00:00:00"/>
        <d v="2023-04-12T00:00:00"/>
        <d v="2023-05-12T00:00:00"/>
        <d v="2023-06-12T00:00:00"/>
        <d v="2023-07-12T00:00:00"/>
        <s v="14/12/2023 "/>
        <s v="16/12/2023 "/>
        <s v="18/12/2023 "/>
        <s v="19/12/2023 "/>
        <s v="20/12/2023 "/>
        <s v="21/12/2023 "/>
        <s v="22/12/2023 "/>
        <s v="24/12/2023 "/>
        <s v="27/12/2023 "/>
        <m/>
      </sharedItems>
    </cacheField>
    <cacheField name="Delivery Date" numFmtId="14">
      <sharedItems containsBlank="1" count="267">
        <s v=" 5/1/2023"/>
        <s v=" 10/1/2023"/>
        <s v=" 9/1/2023"/>
        <s v=" 7/1/2023"/>
        <s v=" 6/1/2023"/>
        <s v=" 12/1/2023"/>
        <s v=" 16/1/2023"/>
        <s v=" 14/1/2023"/>
        <s v=" 17/1/2023"/>
        <s v=" 15/1/2023"/>
        <s v=" 19/1/2023"/>
        <s v=" 20/1/2023"/>
        <s v=" 22/1/2023"/>
        <s v=" 24/1/2023"/>
        <s v=" 27/1/2023"/>
        <s v=" 29/1/2023"/>
        <s v=" 25/1/2023"/>
        <s v=" 30/1/2023"/>
        <s v=" 1/2/2023"/>
        <s v=" 31/1/2023"/>
        <s v=" 5/2/2023"/>
        <s v=" 4/2/2023"/>
        <s v=" 6/2/2023"/>
        <s v=" 11/2/2023"/>
        <s v=" 13/2/2023"/>
        <s v=" 14/2/2023"/>
        <s v=" 16/2/2023"/>
        <s v=" 18/2/2023"/>
        <s v=" 17/2/2023"/>
        <s v=" 21/2/2023"/>
        <s v=" 22/2/2023"/>
        <s v=" 25/2/2023"/>
        <s v=" 24/2/2023"/>
        <s v=" 20/2/2023"/>
        <s v=" 23/2/2023"/>
        <s v=" 28/2/2023"/>
        <s v=" 1/3/2023"/>
        <s v=" 5/3/2023"/>
        <s v=" 4/3/2023"/>
        <s v=" 6/3/2023"/>
        <s v=" 7/3/2023"/>
        <s v=" 10/3/2023"/>
        <s v=" 8/3/2023"/>
        <s v=" 12/3/2023"/>
        <s v=" 9/3/2023"/>
        <s v=" 14/3/2023"/>
        <s v=" 11/3/2023"/>
        <s v=" 15/3/2023"/>
        <s v=" 13/3/2023"/>
        <s v=" 16/3/2023"/>
        <s v=" 17/3/2023"/>
        <s v=" 18/3/2023"/>
        <s v=" 19/3/2023"/>
        <s v=" 22/3/2023"/>
        <s v=" 23/3/2023"/>
        <s v=" 21/3/2023"/>
        <s v=" 25/3/2023"/>
        <s v=" 26/3/2023"/>
        <s v=" 28/3/2023"/>
        <s v=" 29/3/2023"/>
        <s v=" 2/4/2023"/>
        <s v=" 3/4/2023"/>
        <s v=" 1/4/2023"/>
        <s v=" 31/3/2023"/>
        <s v=" 5/4/2023"/>
        <s v=" 6/4/2023"/>
        <s v=" 8/4/2023"/>
        <s v=" 7/4/2023"/>
        <s v=" 9/4/2023"/>
        <s v=" 10/4/2023"/>
        <s v=" 15/4/2023"/>
        <s v=" 11/4/2023"/>
        <s v=" 14/4/2023"/>
        <s v=" 16/4/2023"/>
        <s v=" 13/4/2023"/>
        <s v=" 17/4/2023"/>
        <s v=" 19/4/2023"/>
        <s v=" 20/4/2023"/>
        <s v=" 21/4/2023"/>
        <s v=" 24/4/2023"/>
        <s v=" 23/4/2023"/>
        <s v=" 25/4/2023"/>
        <s v=" 29/4/2023"/>
        <s v=" 28/4/2023"/>
        <s v=" 27/4/2023"/>
        <s v=" 26/4/2023"/>
        <s v=" 1/5/2023"/>
        <s v=" 2/5/2023"/>
        <s v=" 5/5/2023"/>
        <s v=" 30/4/2023"/>
        <s v=" 3/5/2023"/>
        <s v=" 8/5/2023"/>
        <s v=" 6/5/2023"/>
        <s v=" 10/5/2023"/>
        <s v=" 13/5/2023"/>
        <s v=" 14/5/2023"/>
        <s v=" 15/5/2023"/>
        <s v=" 17/5/2023"/>
        <s v=" 16/5/2023"/>
        <s v=" 19/5/2023"/>
        <s v=" 20/5/2023"/>
        <s v=" 18/5/2023"/>
        <s v=" 23/5/2023"/>
        <s v=" 24/5/2023"/>
        <s v=" 28/5/2023"/>
        <s v=" 25/5/2023"/>
        <s v=" 26/5/2023"/>
        <s v=" 30/5/2023"/>
        <s v=" 2/6/2023"/>
        <s v=" 4/6/2023"/>
        <s v=" 5/6/2023"/>
        <s v=" 31/5/2023"/>
        <s v=" 3/6/2023"/>
        <s v=" 8/6/2023"/>
        <s v=" 7/6/2023"/>
        <s v=" 9/6/2023"/>
        <s v=" 10/6/2023"/>
        <s v=" 12/6/2023"/>
        <s v=" 14/6/2023"/>
        <s v=" 17/6/2023"/>
        <s v=" 18/6/2023"/>
        <s v=" 23/6/2023"/>
        <s v=" 22/6/2023"/>
        <s v=" 25/6/2023"/>
        <s v=" 21/6/2023"/>
        <s v=" 24/6/2023"/>
        <s v=" 30/6/2023"/>
        <s v=" 28/6/2023"/>
        <s v=" 29/6/2023"/>
        <s v=" 3/7/2023"/>
        <s v=" 4/7/2023"/>
        <s v=" 1/7/2023"/>
        <s v=" 2/7/2023"/>
        <s v=" 6/7/2023"/>
        <s v=" 12/7/2023"/>
        <s v=" 11/7/2023"/>
        <s v=" 14/7/2023"/>
        <s v=" 17/7/2023"/>
        <s v=" 15/7/2023"/>
        <s v=" 19/7/2023"/>
        <s v=" 20/7/2023"/>
        <s v=" 21/7/2023"/>
        <s v=" 18/7/2023"/>
        <s v=" 22/7/2023"/>
        <s v=" 23/7/2023"/>
        <s v=" 24/7/2023"/>
        <s v=" 27/7/2023"/>
        <s v=" 25/7/2023"/>
        <s v=" 31/7/2023"/>
        <s v=" 29/7/2023"/>
        <s v=" 30/7/2023"/>
        <s v=" 2/8/2023"/>
        <s v=" 1/8/2023"/>
        <s v=" 3/8/2023"/>
        <s v=" 6/8/2023"/>
        <s v=" 5/8/2023"/>
        <s v=" 7/8/2023"/>
        <s v=" 10/8/2023"/>
        <s v=" 12/8/2023"/>
        <s v=" 11/8/2023"/>
        <s v=" 9/8/2023"/>
        <s v=" 15/8/2023"/>
        <s v=" 16/8/2023"/>
        <s v=" 13/8/2023"/>
        <s v=" 19/8/2023"/>
        <s v=" 14/8/2023"/>
        <s v=" 17/8/2023"/>
        <s v=" 20/8/2023"/>
        <s v=" 22/8/2023"/>
        <s v=" 23/8/2023"/>
        <s v=" 27/8/2023"/>
        <s v=" 26/8/2023"/>
        <s v=" 25/8/2023"/>
        <s v=" 1/9/2023"/>
        <s v=" 28/8/2023"/>
        <s v=" 2/9/2023"/>
        <s v=" 31/8/2023"/>
        <s v=" 5/9/2023"/>
        <s v=" 7/9/2023"/>
        <s v=" 8/9/2023"/>
        <s v=" 9/9/2023"/>
        <s v=" 4/9/2023"/>
        <s v=" 10/9/2023"/>
        <s v=" 14/9/2023"/>
        <s v=" 13/9/2023"/>
        <s v=" 15/9/2023"/>
        <s v=" 17/9/2023"/>
        <s v=" 16/9/2023"/>
        <s v=" 18/9/2023"/>
        <s v=" 20/9/2023"/>
        <s v=" 22/9/2023"/>
        <s v=" 21/9/2023"/>
        <s v=" 23/9/2023"/>
        <s v=" 25/9/2023"/>
        <s v=" 24/9/2023"/>
        <s v=" 27/9/2023"/>
        <s v=" 1/10/2023"/>
        <s v=" 28/9/2023"/>
        <s v=" 3/10/2023"/>
        <s v=" 30/9/2023"/>
        <s v=" 2/10/2023"/>
        <s v=" 29/9/2023"/>
        <s v=" 5/10/2023"/>
        <s v=" 6/10/2023"/>
        <s v=" 8/10/2023"/>
        <s v=" 12/10/2023"/>
        <s v=" 13/10/2023"/>
        <s v=" 14/10/2023"/>
        <s v=" 16/10/2023"/>
        <s v=" 20/10/2023"/>
        <s v=" 21/10/2023"/>
        <s v=" 25/10/2023"/>
        <s v=" 22/10/2023"/>
        <s v=" 26/10/2023"/>
        <s v=" 23/10/2023"/>
        <s v=" 24/10/2023"/>
        <s v=" 28/10/2023"/>
        <s v=" 31/10/2023"/>
        <s v=" 30/10/2023"/>
        <s v=" 1/11/2023"/>
        <s v=" 29/10/2023"/>
        <s v=" 2/11/2023"/>
        <s v=" 3/11/2023"/>
        <s v=" 5/11/2023"/>
        <s v=" 7/11/2023"/>
        <s v=" 11/11/2023"/>
        <s v=" 10/11/2023"/>
        <s v=" 8/11/2023"/>
        <s v=" 12/11/2023"/>
        <s v=" 13/11/2023"/>
        <s v=" 16/11/2023"/>
        <s v=" 17/11/2023"/>
        <s v=" 14/11/2023"/>
        <s v=" 18/11/2023"/>
        <s v=" 19/11/2023"/>
        <s v=" 15/11/2023"/>
        <s v=" 22/11/2023"/>
        <s v=" 20/11/2023"/>
        <s v=" 23/11/2023"/>
        <s v=" 21/11/2023"/>
        <s v=" 26/11/2023"/>
        <s v=" 25/11/2023"/>
        <s v=" 27/11/2023"/>
        <s v=" 29/11/2023"/>
        <s v=" 28/11/2023"/>
        <s v=" 30/11/2023"/>
        <s v=" 3/12/2023"/>
        <s v=" 7/12/2023"/>
        <s v=" 5/12/2023"/>
        <s v=" 4/12/2023"/>
        <s v=" 6/12/2023"/>
        <s v=" 10/12/2023"/>
        <s v=" 8/12/2023"/>
        <s v=" 11/12/2023"/>
        <s v=" 9/12/2023"/>
        <s v=" 21/12/2023"/>
        <s v=" 23/12/2023"/>
        <s v=" 22/12/2023"/>
        <s v=" 19/12/2023"/>
        <s v=" 20/12/2023"/>
        <s v=" 18/12/2023"/>
        <s v=" 25/12/2023"/>
        <s v=" 24/12/2023"/>
        <s v=" 26/12/2023"/>
        <s v=" 27/12/2023"/>
        <s v=" 29/12/2023"/>
        <m/>
      </sharedItems>
    </cacheField>
    <cacheField name=" Service ID" numFmtId="1">
      <sharedItems containsString="0" containsBlank="1" containsNumber="1" containsInteger="1" minValue="1" maxValue="4"/>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aad" refreshedDate="46067.67319814815" createdVersion="4" refreshedVersion="4" minRefreshableVersion="3" recordCount="1083">
  <cacheSource type="worksheet">
    <worksheetSource ref="A1:K1084" sheet="Sheet1"/>
  </cacheSource>
  <cacheFields count="12">
    <cacheField name="Customer ID" numFmtId="0">
      <sharedItems/>
    </cacheField>
    <cacheField name="Order ID" numFmtId="2">
      <sharedItems/>
    </cacheField>
    <cacheField name="Product Name" numFmtId="0">
      <sharedItems/>
    </cacheField>
    <cacheField name="Product Category" numFmtId="0">
      <sharedItems count="2">
        <s v="Graphing Calculator"/>
        <s v="CAS Calculator"/>
      </sharedItems>
    </cacheField>
    <cacheField name="Quantity" numFmtId="1">
      <sharedItems containsSemiMixedTypes="0" containsString="0" containsNumber="1" containsInteger="1" minValue="1" maxValue="4"/>
    </cacheField>
    <cacheField name="Unit Price" numFmtId="165">
      <sharedItems containsSemiMixedTypes="0" containsString="0" containsNumber="1" containsInteger="1" minValue="85" maxValue="220"/>
    </cacheField>
    <cacheField name="Discount" numFmtId="1">
      <sharedItems containsSemiMixedTypes="0" containsString="0" containsNumber="1" containsInteger="1" minValue="0" maxValue="10"/>
    </cacheField>
    <cacheField name="Total Value" numFmtId="164">
      <sharedItems containsSemiMixedTypes="0" containsString="0" containsNumber="1" containsInteger="1" minValue="75" maxValue="800"/>
    </cacheField>
    <cacheField name="Order Date" numFmtId="14">
      <sharedItems containsSemiMixedTypes="0" containsNonDate="0" containsDate="1" containsString="0" minDate="2023-01-01T00:00:00" maxDate="2023-12-28T00:00:00" count="257">
        <d v="2023-01-01T00:00:00"/>
        <d v="2023-03-01T00:00:00"/>
        <d v="2023-04-01T00:00:00"/>
        <d v="2023-05-01T00:00:00"/>
        <d v="2023-06-01T00:00:00"/>
        <d v="2023-09-01T00:00:00"/>
        <d v="2023-10-01T00:00:00"/>
        <d v="2023-11-01T00:00:00"/>
        <d v="2023-12-01T00:00:00"/>
        <d v="2023-01-13T00:00:00"/>
        <d v="2023-01-15T00:00:00"/>
        <d v="2023-01-17T00:00:00"/>
        <d v="2023-01-18T00:00:00"/>
        <d v="2023-01-20T00:00:00"/>
        <d v="2023-01-22T00:00:00"/>
        <d v="2023-01-23T00:00:00"/>
        <d v="2023-01-25T00:00:00"/>
        <d v="2023-01-26T00:00:00"/>
        <d v="2023-01-27T00:00:00"/>
        <d v="2023-01-29T00:00:00"/>
        <d v="2023-01-30T00:00:00"/>
        <d v="2023-01-31T00:00:00"/>
        <d v="2023-03-02T00:00:00"/>
        <d v="2023-06-02T00:00:00"/>
        <d v="2023-07-02T00:00:00"/>
        <d v="2023-08-02T00:00:00"/>
        <d v="2023-09-02T00:00:00"/>
        <d v="2023-12-02T00:00:00"/>
        <d v="2023-02-15T00:00:00"/>
        <d v="2023-02-17T00:00:00"/>
        <d v="2023-02-18T00:00:00"/>
        <d v="2023-02-19T00:00:00"/>
        <d v="2023-02-20T00:00:00"/>
        <d v="2023-02-21T00:00:00"/>
        <d v="2023-02-22T00:00:00"/>
        <d v="2023-02-23T00:00:00"/>
        <d v="2023-02-26T00:00:00"/>
        <d v="2023-02-27T00:00:00"/>
        <d v="2023-02-28T00:00:00"/>
        <d v="2023-01-03T00:00:00"/>
        <d v="2023-05-03T00:00:00"/>
        <d v="2023-06-03T00:00:00"/>
        <d v="2023-07-03T00:00:00"/>
        <d v="2023-09-03T00:00:00"/>
        <d v="2023-10-03T00:00:00"/>
        <d v="2023-11-03T00:00:00"/>
        <d v="2023-12-03T00:00:00"/>
        <d v="2023-03-14T00:00:00"/>
        <d v="2023-03-15T00:00:00"/>
        <d v="2023-03-16T00:00:00"/>
        <d v="2023-03-17T00:00:00"/>
        <d v="2023-03-18T00:00:00"/>
        <d v="2023-03-20T00:00:00"/>
        <d v="2023-03-21T00:00:00"/>
        <d v="2023-03-22T00:00:00"/>
        <d v="2023-03-23T00:00:00"/>
        <d v="2023-03-24T00:00:00"/>
        <d v="2023-03-26T00:00:00"/>
        <d v="2023-03-27T00:00:00"/>
        <d v="2023-03-29T00:00:00"/>
        <d v="2023-03-30T00:00:00"/>
        <d v="2023-03-31T00:00:00"/>
        <d v="2023-01-04T00:00:00"/>
        <d v="2023-02-04T00:00:00"/>
        <d v="2023-04-04T00:00:00"/>
        <d v="2023-07-04T00:00:00"/>
        <d v="2023-08-04T00:00:00"/>
        <d v="2023-09-04T00:00:00"/>
        <d v="2023-10-04T00:00:00"/>
        <d v="2023-11-04T00:00:00"/>
        <d v="2023-04-13T00:00:00"/>
        <d v="2023-04-14T00:00:00"/>
        <d v="2023-04-16T00:00:00"/>
        <d v="2023-04-17T00:00:00"/>
        <d v="2023-04-18T00:00:00"/>
        <d v="2023-04-19T00:00:00"/>
        <d v="2023-04-20T00:00:00"/>
        <d v="2023-04-22T00:00:00"/>
        <d v="2023-04-23T00:00:00"/>
        <d v="2023-04-24T00:00:00"/>
        <d v="2023-04-25T00:00:00"/>
        <d v="2023-04-26T00:00:00"/>
        <d v="2023-04-27T00:00:00"/>
        <d v="2023-04-28T00:00:00"/>
        <d v="2023-04-30T00:00:00"/>
        <d v="2023-01-05T00:00:00"/>
        <d v="2023-02-05T00:00:00"/>
        <d v="2023-03-05T00:00:00"/>
        <d v="2023-04-05T00:00:00"/>
        <d v="2023-06-05T00:00:00"/>
        <d v="2023-07-05T00:00:00"/>
        <d v="2023-09-05T00:00:00"/>
        <d v="2023-10-05T00:00:00"/>
        <d v="2023-11-05T00:00:00"/>
        <d v="2023-12-05T00:00:00"/>
        <d v="2023-05-13T00:00:00"/>
        <d v="2023-05-14T00:00:00"/>
        <d v="2023-05-15T00:00:00"/>
        <d v="2023-05-16T00:00:00"/>
        <d v="2023-05-17T00:00:00"/>
        <d v="2023-05-20T00:00:00"/>
        <d v="2023-05-21T00:00:00"/>
        <d v="2023-05-23T00:00:00"/>
        <d v="2023-05-24T00:00:00"/>
        <d v="2023-05-27T00:00:00"/>
        <d v="2023-05-29T00:00:00"/>
        <d v="2023-05-30T00:00:00"/>
        <d v="2023-05-31T00:00:00"/>
        <d v="2023-01-06T00:00:00"/>
        <d v="2023-02-06T00:00:00"/>
        <d v="2023-04-06T00:00:00"/>
        <d v="2023-05-06T00:00:00"/>
        <d v="2023-06-06T00:00:00"/>
        <d v="2023-08-06T00:00:00"/>
        <d v="2023-09-06T00:00:00"/>
        <d v="2023-06-13T00:00:00"/>
        <d v="2023-06-15T00:00:00"/>
        <d v="2023-06-16T00:00:00"/>
        <d v="2023-06-18T00:00:00"/>
        <d v="2023-06-20T00:00:00"/>
        <d v="2023-06-21T00:00:00"/>
        <d v="2023-06-23T00:00:00"/>
        <d v="2023-06-24T00:00:00"/>
        <d v="2023-06-25T00:00:00"/>
        <d v="2023-06-26T00:00:00"/>
        <d v="2023-06-27T00:00:00"/>
        <d v="2023-06-28T00:00:00"/>
        <d v="2023-06-29T00:00:00"/>
        <d v="2023-06-30T00:00:00"/>
        <d v="2023-01-07T00:00:00"/>
        <d v="2023-05-07T00:00:00"/>
        <d v="2023-08-07T00:00:00"/>
        <d v="2023-11-07T00:00:00"/>
        <d v="2023-12-07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1-08T00:00:00"/>
        <d v="2023-02-08T00:00:00"/>
        <d v="2023-03-08T00:00:00"/>
        <d v="2023-06-08T00:00:00"/>
        <d v="2023-07-08T00:00:00"/>
        <d v="2023-08-08T00:00:00"/>
        <d v="2023-09-08T00:00:00"/>
        <d v="2023-10-08T00:00:00"/>
        <d v="2023-11-08T00:00:00"/>
        <d v="2023-12-08T00:00:00"/>
        <d v="2023-08-13T00:00:00"/>
        <d v="2023-08-15T00:00:00"/>
        <d v="2023-08-17T00:00:00"/>
        <d v="2023-08-18T00:00:00"/>
        <d v="2023-08-19T00:00:00"/>
        <d v="2023-08-20T00:00:00"/>
        <d v="2023-08-21T00:00:00"/>
        <d v="2023-08-23T00:00:00"/>
        <d v="2023-08-26T00:00:00"/>
        <d v="2023-08-27T00:00:00"/>
        <d v="2023-08-29T00:00:00"/>
        <d v="2023-01-09T00:00:00"/>
        <d v="2023-02-09T00:00:00"/>
        <d v="2023-03-09T00:00:00"/>
        <d v="2023-05-09T00:00:00"/>
        <d v="2023-06-09T00:00:00"/>
        <d v="2023-07-09T00:00:00"/>
        <d v="2023-08-09T00:00:00"/>
        <d v="2023-10-09T00:00:00"/>
        <d v="2023-11-09T00:00:00"/>
        <d v="2023-12-09T00:00:00"/>
        <d v="2023-09-13T00:00:00"/>
        <d v="2023-09-15T00:00:00"/>
        <d v="2023-09-16T00:00:00"/>
        <d v="2023-09-17T00:00:00"/>
        <d v="2023-09-18T00:00:00"/>
        <d v="2023-09-19T00:00:00"/>
        <d v="2023-09-20T00:00:00"/>
        <d v="2023-09-24T00:00:00"/>
        <d v="2023-09-25T00:00:00"/>
        <d v="2023-09-26T00:00:00"/>
        <d v="2023-09-27T00:00:00"/>
        <d v="2023-09-28T00:00:00"/>
        <d v="2023-09-29T00:00:00"/>
        <d v="2023-09-30T00:00:00"/>
        <d v="2023-01-10T00:00:00"/>
        <d v="2023-02-10T00:00:00"/>
        <d v="2023-03-10T00:00:00"/>
        <d v="2023-04-10T00:00:00"/>
        <d v="2023-06-10T00:00:00"/>
        <d v="2023-08-10T00:00:00"/>
        <d v="2023-11-10T00:00:00"/>
        <d v="2023-10-13T00:00:00"/>
        <d v="2023-10-14T00:00:00"/>
        <d v="2023-10-15T00:00:00"/>
        <d v="2023-10-16T00:00:00"/>
        <d v="2023-10-17T00:00:00"/>
        <d v="2023-10-18T00:00:00"/>
        <d v="2023-10-19T00:00:00"/>
        <d v="2023-10-20T00:00:00"/>
        <d v="2023-10-21T00:00:00"/>
        <d v="2023-10-25T00:00:00"/>
        <d v="2023-10-26T00:00:00"/>
        <d v="2023-10-27T00:00:00"/>
        <d v="2023-10-28T00:00:00"/>
        <d v="2023-10-30T00:00:00"/>
        <d v="2023-02-11T00:00:00"/>
        <d v="2023-04-11T00:00:00"/>
        <d v="2023-05-11T00:00:00"/>
        <d v="2023-07-11T00:00:00"/>
        <d v="2023-08-11T00:00:00"/>
        <d v="2023-09-11T00:00:00"/>
        <d v="2023-10-11T00:00:00"/>
        <d v="2023-11-11T00:00:00"/>
        <d v="2023-12-11T00:00:00"/>
        <d v="2023-11-13T00:00:00"/>
        <d v="2023-11-14T00:00:00"/>
        <d v="2023-11-15T00:00:00"/>
        <d v="2023-11-16T00:00:00"/>
        <d v="2023-11-17T00:00:00"/>
        <d v="2023-11-18T00:00:00"/>
        <d v="2023-11-19T00:00:00"/>
        <d v="2023-11-20T00:00:00"/>
        <d v="2023-11-21T00:00:00"/>
        <d v="2023-11-22T00:00:00"/>
        <d v="2023-11-24T00:00:00"/>
        <d v="2023-11-25T00:00:00"/>
        <d v="2023-11-27T00:00:00"/>
        <d v="2023-11-30T00:00:00"/>
        <d v="2023-01-12T00:00:00"/>
        <d v="2023-03-12T00:00:00"/>
        <d v="2023-04-12T00:00:00"/>
        <d v="2023-05-12T00:00:00"/>
        <d v="2023-06-12T00:00:00"/>
        <d v="2023-07-12T00:00:00"/>
        <d v="2023-12-14T00:00:00"/>
        <d v="2023-12-16T00:00:00"/>
        <d v="2023-12-18T00:00:00"/>
        <d v="2023-12-19T00:00:00"/>
        <d v="2023-12-20T00:00:00"/>
        <d v="2023-12-21T00:00:00"/>
        <d v="2023-12-22T00:00:00"/>
        <d v="2023-12-24T00:00:00"/>
        <d v="2023-12-27T00:00:00"/>
      </sharedItems>
      <fieldGroup par="11" base="8">
        <rangePr groupBy="months" startDate="2023-01-01T00:00:00" endDate="2023-12-28T00:00:00"/>
        <groupItems count="14">
          <s v="&lt;1/1/2023"/>
          <s v="Jan"/>
          <s v="Feb"/>
          <s v="Mar"/>
          <s v="Apr"/>
          <s v="May"/>
          <s v="Jun"/>
          <s v="Jul"/>
          <s v="Aug"/>
          <s v="Sep"/>
          <s v="Oct"/>
          <s v="Nov"/>
          <s v="Dec"/>
          <s v="&gt;12/28/2023"/>
        </groupItems>
      </fieldGroup>
    </cacheField>
    <cacheField name="Delivery Date" numFmtId="14">
      <sharedItems/>
    </cacheField>
    <cacheField name=" Service ID" numFmtId="1">
      <sharedItems containsSemiMixedTypes="0" containsString="0" containsNumber="1" containsInteger="1" minValue="1" maxValue="4"/>
    </cacheField>
    <cacheField name="Years" numFmtId="0" databaseField="0">
      <fieldGroup base="8">
        <rangePr groupBy="years" startDate="2023-01-01T00:00:00" endDate="2023-12-28T00:00:00"/>
        <groupItems count="3">
          <s v="&lt;1/1/2023"/>
          <s v="2023"/>
          <s v="&gt;12/28/2023"/>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84">
  <r>
    <x v="0"/>
    <s v="O1095"/>
    <x v="0"/>
    <x v="0"/>
    <x v="0"/>
    <x v="0"/>
    <x v="0"/>
    <x v="0"/>
    <x v="0"/>
    <x v="0"/>
    <n v="1"/>
  </r>
  <r>
    <x v="1"/>
    <s v="O1096"/>
    <x v="0"/>
    <x v="0"/>
    <x v="0"/>
    <x v="0"/>
    <x v="0"/>
    <x v="0"/>
    <x v="0"/>
    <x v="0"/>
    <n v="3"/>
  </r>
  <r>
    <x v="2"/>
    <s v="O1097"/>
    <x v="1"/>
    <x v="0"/>
    <x v="0"/>
    <x v="1"/>
    <x v="0"/>
    <x v="1"/>
    <x v="1"/>
    <x v="1"/>
    <n v="1"/>
  </r>
  <r>
    <x v="3"/>
    <s v="O1098"/>
    <x v="2"/>
    <x v="0"/>
    <x v="0"/>
    <x v="2"/>
    <x v="0"/>
    <x v="2"/>
    <x v="1"/>
    <x v="2"/>
    <n v="4"/>
  </r>
  <r>
    <x v="4"/>
    <s v="O1099"/>
    <x v="2"/>
    <x v="0"/>
    <x v="1"/>
    <x v="2"/>
    <x v="0"/>
    <x v="3"/>
    <x v="1"/>
    <x v="3"/>
    <n v="1"/>
  </r>
  <r>
    <x v="5"/>
    <s v="O1100"/>
    <x v="1"/>
    <x v="0"/>
    <x v="0"/>
    <x v="1"/>
    <x v="0"/>
    <x v="1"/>
    <x v="1"/>
    <x v="1"/>
    <n v="4"/>
  </r>
  <r>
    <x v="6"/>
    <s v="O1101"/>
    <x v="2"/>
    <x v="0"/>
    <x v="0"/>
    <x v="2"/>
    <x v="0"/>
    <x v="2"/>
    <x v="1"/>
    <x v="2"/>
    <n v="2"/>
  </r>
  <r>
    <x v="7"/>
    <s v="O1102"/>
    <x v="2"/>
    <x v="0"/>
    <x v="1"/>
    <x v="2"/>
    <x v="0"/>
    <x v="3"/>
    <x v="1"/>
    <x v="3"/>
    <n v="2"/>
  </r>
  <r>
    <x v="8"/>
    <s v="O1103"/>
    <x v="2"/>
    <x v="0"/>
    <x v="1"/>
    <x v="2"/>
    <x v="0"/>
    <x v="3"/>
    <x v="1"/>
    <x v="3"/>
    <n v="3"/>
  </r>
  <r>
    <x v="9"/>
    <s v="O1104"/>
    <x v="3"/>
    <x v="0"/>
    <x v="2"/>
    <x v="3"/>
    <x v="1"/>
    <x v="4"/>
    <x v="2"/>
    <x v="4"/>
    <n v="1"/>
  </r>
  <r>
    <x v="10"/>
    <s v="O1105"/>
    <x v="2"/>
    <x v="0"/>
    <x v="0"/>
    <x v="2"/>
    <x v="0"/>
    <x v="2"/>
    <x v="2"/>
    <x v="4"/>
    <n v="4"/>
  </r>
  <r>
    <x v="11"/>
    <s v="O1106"/>
    <x v="3"/>
    <x v="0"/>
    <x v="2"/>
    <x v="3"/>
    <x v="1"/>
    <x v="4"/>
    <x v="2"/>
    <x v="4"/>
    <n v="2"/>
  </r>
  <r>
    <x v="12"/>
    <s v="O1107"/>
    <x v="2"/>
    <x v="0"/>
    <x v="0"/>
    <x v="2"/>
    <x v="0"/>
    <x v="2"/>
    <x v="2"/>
    <x v="4"/>
    <n v="2"/>
  </r>
  <r>
    <x v="13"/>
    <s v="O1108"/>
    <x v="2"/>
    <x v="0"/>
    <x v="0"/>
    <x v="2"/>
    <x v="0"/>
    <x v="2"/>
    <x v="2"/>
    <x v="4"/>
    <n v="3"/>
  </r>
  <r>
    <x v="14"/>
    <s v="O1109"/>
    <x v="2"/>
    <x v="0"/>
    <x v="3"/>
    <x v="2"/>
    <x v="0"/>
    <x v="5"/>
    <x v="3"/>
    <x v="5"/>
    <n v="3"/>
  </r>
  <r>
    <x v="15"/>
    <s v="O1110"/>
    <x v="2"/>
    <x v="0"/>
    <x v="3"/>
    <x v="2"/>
    <x v="0"/>
    <x v="5"/>
    <x v="3"/>
    <x v="5"/>
    <n v="3"/>
  </r>
  <r>
    <x v="16"/>
    <s v="O1111"/>
    <x v="4"/>
    <x v="0"/>
    <x v="3"/>
    <x v="4"/>
    <x v="2"/>
    <x v="6"/>
    <x v="4"/>
    <x v="5"/>
    <n v="3"/>
  </r>
  <r>
    <x v="17"/>
    <s v="O1112"/>
    <x v="4"/>
    <x v="0"/>
    <x v="0"/>
    <x v="4"/>
    <x v="1"/>
    <x v="7"/>
    <x v="4"/>
    <x v="5"/>
    <n v="1"/>
  </r>
  <r>
    <x v="18"/>
    <s v="O1113"/>
    <x v="4"/>
    <x v="0"/>
    <x v="3"/>
    <x v="4"/>
    <x v="2"/>
    <x v="6"/>
    <x v="4"/>
    <x v="5"/>
    <n v="3"/>
  </r>
  <r>
    <x v="19"/>
    <s v="O1114"/>
    <x v="4"/>
    <x v="0"/>
    <x v="0"/>
    <x v="4"/>
    <x v="1"/>
    <x v="7"/>
    <x v="4"/>
    <x v="5"/>
    <n v="2"/>
  </r>
  <r>
    <x v="20"/>
    <s v="O1115"/>
    <x v="4"/>
    <x v="0"/>
    <x v="3"/>
    <x v="4"/>
    <x v="2"/>
    <x v="6"/>
    <x v="4"/>
    <x v="5"/>
    <n v="3"/>
  </r>
  <r>
    <x v="21"/>
    <s v="O1116"/>
    <x v="2"/>
    <x v="0"/>
    <x v="0"/>
    <x v="2"/>
    <x v="0"/>
    <x v="2"/>
    <x v="5"/>
    <x v="5"/>
    <n v="1"/>
  </r>
  <r>
    <x v="22"/>
    <s v="O1117"/>
    <x v="4"/>
    <x v="0"/>
    <x v="3"/>
    <x v="4"/>
    <x v="0"/>
    <x v="8"/>
    <x v="5"/>
    <x v="6"/>
    <n v="1"/>
  </r>
  <r>
    <x v="23"/>
    <s v="O1118"/>
    <x v="4"/>
    <x v="0"/>
    <x v="0"/>
    <x v="4"/>
    <x v="0"/>
    <x v="9"/>
    <x v="5"/>
    <x v="7"/>
    <n v="2"/>
  </r>
  <r>
    <x v="24"/>
    <s v="O1119"/>
    <x v="2"/>
    <x v="0"/>
    <x v="0"/>
    <x v="2"/>
    <x v="0"/>
    <x v="2"/>
    <x v="5"/>
    <x v="5"/>
    <n v="1"/>
  </r>
  <r>
    <x v="25"/>
    <s v="O1120"/>
    <x v="4"/>
    <x v="0"/>
    <x v="3"/>
    <x v="4"/>
    <x v="0"/>
    <x v="8"/>
    <x v="5"/>
    <x v="6"/>
    <n v="4"/>
  </r>
  <r>
    <x v="26"/>
    <s v="O1121"/>
    <x v="4"/>
    <x v="0"/>
    <x v="0"/>
    <x v="4"/>
    <x v="0"/>
    <x v="9"/>
    <x v="5"/>
    <x v="7"/>
    <n v="3"/>
  </r>
  <r>
    <x v="27"/>
    <s v="O1122"/>
    <x v="5"/>
    <x v="0"/>
    <x v="0"/>
    <x v="5"/>
    <x v="1"/>
    <x v="10"/>
    <x v="6"/>
    <x v="8"/>
    <n v="3"/>
  </r>
  <r>
    <x v="28"/>
    <s v="O1123"/>
    <x v="5"/>
    <x v="0"/>
    <x v="0"/>
    <x v="5"/>
    <x v="1"/>
    <x v="10"/>
    <x v="6"/>
    <x v="8"/>
    <n v="4"/>
  </r>
  <r>
    <x v="29"/>
    <s v="O1124"/>
    <x v="3"/>
    <x v="0"/>
    <x v="3"/>
    <x v="3"/>
    <x v="1"/>
    <x v="11"/>
    <x v="7"/>
    <x v="9"/>
    <n v="4"/>
  </r>
  <r>
    <x v="30"/>
    <s v="O1125"/>
    <x v="3"/>
    <x v="0"/>
    <x v="3"/>
    <x v="3"/>
    <x v="1"/>
    <x v="11"/>
    <x v="7"/>
    <x v="9"/>
    <n v="2"/>
  </r>
  <r>
    <x v="31"/>
    <s v="O1126"/>
    <x v="2"/>
    <x v="0"/>
    <x v="0"/>
    <x v="2"/>
    <x v="0"/>
    <x v="2"/>
    <x v="8"/>
    <x v="7"/>
    <n v="3"/>
  </r>
  <r>
    <x v="32"/>
    <s v="O1127"/>
    <x v="2"/>
    <x v="0"/>
    <x v="0"/>
    <x v="2"/>
    <x v="0"/>
    <x v="2"/>
    <x v="8"/>
    <x v="10"/>
    <n v="1"/>
  </r>
  <r>
    <x v="33"/>
    <s v="O1128"/>
    <x v="3"/>
    <x v="0"/>
    <x v="0"/>
    <x v="3"/>
    <x v="0"/>
    <x v="12"/>
    <x v="8"/>
    <x v="10"/>
    <n v="1"/>
  </r>
  <r>
    <x v="34"/>
    <s v="O1129"/>
    <x v="2"/>
    <x v="0"/>
    <x v="0"/>
    <x v="2"/>
    <x v="0"/>
    <x v="2"/>
    <x v="8"/>
    <x v="7"/>
    <n v="4"/>
  </r>
  <r>
    <x v="35"/>
    <s v="O1130"/>
    <x v="2"/>
    <x v="0"/>
    <x v="0"/>
    <x v="2"/>
    <x v="0"/>
    <x v="2"/>
    <x v="8"/>
    <x v="10"/>
    <n v="3"/>
  </r>
  <r>
    <x v="36"/>
    <s v="O1131"/>
    <x v="3"/>
    <x v="0"/>
    <x v="0"/>
    <x v="3"/>
    <x v="0"/>
    <x v="12"/>
    <x v="8"/>
    <x v="10"/>
    <n v="1"/>
  </r>
  <r>
    <x v="37"/>
    <s v="O1132"/>
    <x v="2"/>
    <x v="0"/>
    <x v="0"/>
    <x v="2"/>
    <x v="0"/>
    <x v="2"/>
    <x v="8"/>
    <x v="10"/>
    <n v="3"/>
  </r>
  <r>
    <x v="38"/>
    <s v="O1133"/>
    <x v="6"/>
    <x v="0"/>
    <x v="3"/>
    <x v="6"/>
    <x v="2"/>
    <x v="0"/>
    <x v="9"/>
    <x v="11"/>
    <n v="3"/>
  </r>
  <r>
    <x v="39"/>
    <s v="O1134"/>
    <x v="3"/>
    <x v="0"/>
    <x v="3"/>
    <x v="3"/>
    <x v="0"/>
    <x v="13"/>
    <x v="9"/>
    <x v="9"/>
    <n v="3"/>
  </r>
  <r>
    <x v="40"/>
    <s v="O1135"/>
    <x v="6"/>
    <x v="0"/>
    <x v="3"/>
    <x v="6"/>
    <x v="2"/>
    <x v="0"/>
    <x v="9"/>
    <x v="11"/>
    <n v="3"/>
  </r>
  <r>
    <x v="41"/>
    <s v="O1136"/>
    <x v="3"/>
    <x v="0"/>
    <x v="3"/>
    <x v="3"/>
    <x v="0"/>
    <x v="13"/>
    <x v="9"/>
    <x v="9"/>
    <n v="1"/>
  </r>
  <r>
    <x v="42"/>
    <s v="O1137"/>
    <x v="3"/>
    <x v="0"/>
    <x v="0"/>
    <x v="3"/>
    <x v="2"/>
    <x v="14"/>
    <x v="10"/>
    <x v="11"/>
    <n v="1"/>
  </r>
  <r>
    <x v="43"/>
    <s v="O1138"/>
    <x v="2"/>
    <x v="0"/>
    <x v="3"/>
    <x v="2"/>
    <x v="1"/>
    <x v="15"/>
    <x v="10"/>
    <x v="12"/>
    <n v="3"/>
  </r>
  <r>
    <x v="44"/>
    <s v="O1139"/>
    <x v="3"/>
    <x v="0"/>
    <x v="0"/>
    <x v="3"/>
    <x v="2"/>
    <x v="14"/>
    <x v="10"/>
    <x v="11"/>
    <n v="1"/>
  </r>
  <r>
    <x v="45"/>
    <s v="O1140"/>
    <x v="2"/>
    <x v="0"/>
    <x v="3"/>
    <x v="2"/>
    <x v="1"/>
    <x v="15"/>
    <x v="10"/>
    <x v="12"/>
    <n v="3"/>
  </r>
  <r>
    <x v="46"/>
    <s v="O1141"/>
    <x v="2"/>
    <x v="0"/>
    <x v="3"/>
    <x v="2"/>
    <x v="1"/>
    <x v="15"/>
    <x v="10"/>
    <x v="12"/>
    <n v="3"/>
  </r>
  <r>
    <x v="47"/>
    <s v="O1142"/>
    <x v="3"/>
    <x v="0"/>
    <x v="0"/>
    <x v="3"/>
    <x v="2"/>
    <x v="14"/>
    <x v="11"/>
    <x v="13"/>
    <n v="4"/>
  </r>
  <r>
    <x v="48"/>
    <s v="O1143"/>
    <x v="3"/>
    <x v="0"/>
    <x v="0"/>
    <x v="3"/>
    <x v="2"/>
    <x v="14"/>
    <x v="11"/>
    <x v="13"/>
    <n v="4"/>
  </r>
  <r>
    <x v="49"/>
    <s v="O1144"/>
    <x v="3"/>
    <x v="0"/>
    <x v="0"/>
    <x v="3"/>
    <x v="0"/>
    <x v="12"/>
    <x v="12"/>
    <x v="13"/>
    <n v="2"/>
  </r>
  <r>
    <x v="50"/>
    <s v="O1145"/>
    <x v="2"/>
    <x v="0"/>
    <x v="3"/>
    <x v="2"/>
    <x v="0"/>
    <x v="5"/>
    <x v="12"/>
    <x v="11"/>
    <n v="2"/>
  </r>
  <r>
    <x v="51"/>
    <s v="O1146"/>
    <x v="3"/>
    <x v="0"/>
    <x v="2"/>
    <x v="3"/>
    <x v="1"/>
    <x v="4"/>
    <x v="12"/>
    <x v="12"/>
    <n v="1"/>
  </r>
  <r>
    <x v="52"/>
    <s v="O1147"/>
    <x v="3"/>
    <x v="0"/>
    <x v="0"/>
    <x v="3"/>
    <x v="0"/>
    <x v="12"/>
    <x v="12"/>
    <x v="13"/>
    <n v="1"/>
  </r>
  <r>
    <x v="53"/>
    <s v="O1148"/>
    <x v="2"/>
    <x v="0"/>
    <x v="3"/>
    <x v="2"/>
    <x v="0"/>
    <x v="5"/>
    <x v="12"/>
    <x v="11"/>
    <n v="4"/>
  </r>
  <r>
    <x v="54"/>
    <s v="O1149"/>
    <x v="3"/>
    <x v="0"/>
    <x v="2"/>
    <x v="3"/>
    <x v="1"/>
    <x v="4"/>
    <x v="12"/>
    <x v="12"/>
    <n v="1"/>
  </r>
  <r>
    <x v="55"/>
    <s v="O1150"/>
    <x v="3"/>
    <x v="0"/>
    <x v="0"/>
    <x v="3"/>
    <x v="0"/>
    <x v="12"/>
    <x v="13"/>
    <x v="14"/>
    <n v="2"/>
  </r>
  <r>
    <x v="56"/>
    <s v="O1151"/>
    <x v="3"/>
    <x v="0"/>
    <x v="0"/>
    <x v="3"/>
    <x v="0"/>
    <x v="12"/>
    <x v="13"/>
    <x v="14"/>
    <n v="2"/>
  </r>
  <r>
    <x v="57"/>
    <s v="O1152"/>
    <x v="2"/>
    <x v="0"/>
    <x v="3"/>
    <x v="2"/>
    <x v="0"/>
    <x v="5"/>
    <x v="14"/>
    <x v="15"/>
    <n v="1"/>
  </r>
  <r>
    <x v="58"/>
    <s v="O1153"/>
    <x v="2"/>
    <x v="0"/>
    <x v="3"/>
    <x v="2"/>
    <x v="0"/>
    <x v="5"/>
    <x v="14"/>
    <x v="15"/>
    <n v="2"/>
  </r>
  <r>
    <x v="59"/>
    <s v="O1154"/>
    <x v="7"/>
    <x v="1"/>
    <x v="0"/>
    <x v="7"/>
    <x v="2"/>
    <x v="16"/>
    <x v="15"/>
    <x v="15"/>
    <n v="1"/>
  </r>
  <r>
    <x v="60"/>
    <s v="O1155"/>
    <x v="4"/>
    <x v="0"/>
    <x v="0"/>
    <x v="4"/>
    <x v="0"/>
    <x v="9"/>
    <x v="15"/>
    <x v="16"/>
    <n v="2"/>
  </r>
  <r>
    <x v="61"/>
    <s v="O1156"/>
    <x v="7"/>
    <x v="1"/>
    <x v="0"/>
    <x v="7"/>
    <x v="2"/>
    <x v="16"/>
    <x v="15"/>
    <x v="15"/>
    <n v="4"/>
  </r>
  <r>
    <x v="62"/>
    <s v="O1157"/>
    <x v="4"/>
    <x v="0"/>
    <x v="0"/>
    <x v="4"/>
    <x v="0"/>
    <x v="9"/>
    <x v="15"/>
    <x v="16"/>
    <n v="2"/>
  </r>
  <r>
    <x v="63"/>
    <s v="O1158"/>
    <x v="4"/>
    <x v="0"/>
    <x v="0"/>
    <x v="4"/>
    <x v="0"/>
    <x v="9"/>
    <x v="15"/>
    <x v="16"/>
    <n v="3"/>
  </r>
  <r>
    <x v="64"/>
    <s v="O1159"/>
    <x v="3"/>
    <x v="0"/>
    <x v="0"/>
    <x v="3"/>
    <x v="2"/>
    <x v="14"/>
    <x v="16"/>
    <x v="14"/>
    <n v="2"/>
  </r>
  <r>
    <x v="65"/>
    <s v="O1160"/>
    <x v="4"/>
    <x v="0"/>
    <x v="0"/>
    <x v="4"/>
    <x v="0"/>
    <x v="9"/>
    <x v="16"/>
    <x v="14"/>
    <n v="2"/>
  </r>
  <r>
    <x v="66"/>
    <s v="O1161"/>
    <x v="3"/>
    <x v="0"/>
    <x v="0"/>
    <x v="3"/>
    <x v="2"/>
    <x v="14"/>
    <x v="16"/>
    <x v="14"/>
    <n v="2"/>
  </r>
  <r>
    <x v="67"/>
    <s v="O1162"/>
    <x v="4"/>
    <x v="0"/>
    <x v="0"/>
    <x v="4"/>
    <x v="0"/>
    <x v="9"/>
    <x v="16"/>
    <x v="14"/>
    <n v="1"/>
  </r>
  <r>
    <x v="68"/>
    <s v="O1163"/>
    <x v="2"/>
    <x v="0"/>
    <x v="3"/>
    <x v="2"/>
    <x v="2"/>
    <x v="17"/>
    <x v="17"/>
    <x v="17"/>
    <n v="2"/>
  </r>
  <r>
    <x v="69"/>
    <s v="O1164"/>
    <x v="8"/>
    <x v="1"/>
    <x v="0"/>
    <x v="8"/>
    <x v="0"/>
    <x v="18"/>
    <x v="17"/>
    <x v="15"/>
    <n v="4"/>
  </r>
  <r>
    <x v="70"/>
    <s v="O1165"/>
    <x v="2"/>
    <x v="0"/>
    <x v="3"/>
    <x v="2"/>
    <x v="2"/>
    <x v="17"/>
    <x v="17"/>
    <x v="17"/>
    <n v="2"/>
  </r>
  <r>
    <x v="71"/>
    <s v="O1166"/>
    <x v="8"/>
    <x v="1"/>
    <x v="0"/>
    <x v="8"/>
    <x v="0"/>
    <x v="18"/>
    <x v="17"/>
    <x v="15"/>
    <n v="1"/>
  </r>
  <r>
    <x v="72"/>
    <s v="O1167"/>
    <x v="8"/>
    <x v="1"/>
    <x v="0"/>
    <x v="8"/>
    <x v="0"/>
    <x v="18"/>
    <x v="17"/>
    <x v="15"/>
    <n v="3"/>
  </r>
  <r>
    <x v="73"/>
    <s v="O1168"/>
    <x v="9"/>
    <x v="0"/>
    <x v="0"/>
    <x v="9"/>
    <x v="0"/>
    <x v="16"/>
    <x v="18"/>
    <x v="18"/>
    <n v="2"/>
  </r>
  <r>
    <x v="74"/>
    <s v="O1169"/>
    <x v="4"/>
    <x v="0"/>
    <x v="0"/>
    <x v="4"/>
    <x v="0"/>
    <x v="9"/>
    <x v="18"/>
    <x v="19"/>
    <n v="2"/>
  </r>
  <r>
    <x v="75"/>
    <s v="O1170"/>
    <x v="9"/>
    <x v="0"/>
    <x v="0"/>
    <x v="9"/>
    <x v="0"/>
    <x v="16"/>
    <x v="18"/>
    <x v="18"/>
    <n v="3"/>
  </r>
  <r>
    <x v="76"/>
    <s v="O1171"/>
    <x v="4"/>
    <x v="0"/>
    <x v="0"/>
    <x v="4"/>
    <x v="0"/>
    <x v="9"/>
    <x v="18"/>
    <x v="19"/>
    <n v="2"/>
  </r>
  <r>
    <x v="77"/>
    <s v="O1172"/>
    <x v="4"/>
    <x v="0"/>
    <x v="0"/>
    <x v="4"/>
    <x v="0"/>
    <x v="9"/>
    <x v="18"/>
    <x v="19"/>
    <n v="3"/>
  </r>
  <r>
    <x v="78"/>
    <s v="O1173"/>
    <x v="3"/>
    <x v="0"/>
    <x v="0"/>
    <x v="3"/>
    <x v="1"/>
    <x v="2"/>
    <x v="19"/>
    <x v="20"/>
    <n v="4"/>
  </r>
  <r>
    <x v="79"/>
    <s v="O1174"/>
    <x v="5"/>
    <x v="0"/>
    <x v="0"/>
    <x v="5"/>
    <x v="0"/>
    <x v="14"/>
    <x v="19"/>
    <x v="21"/>
    <n v="1"/>
  </r>
  <r>
    <x v="80"/>
    <s v="O1175"/>
    <x v="3"/>
    <x v="0"/>
    <x v="0"/>
    <x v="3"/>
    <x v="1"/>
    <x v="2"/>
    <x v="19"/>
    <x v="20"/>
    <n v="3"/>
  </r>
  <r>
    <x v="81"/>
    <s v="O1176"/>
    <x v="5"/>
    <x v="0"/>
    <x v="0"/>
    <x v="5"/>
    <x v="0"/>
    <x v="14"/>
    <x v="19"/>
    <x v="21"/>
    <n v="1"/>
  </r>
  <r>
    <x v="82"/>
    <s v="O1177"/>
    <x v="2"/>
    <x v="0"/>
    <x v="0"/>
    <x v="2"/>
    <x v="1"/>
    <x v="14"/>
    <x v="20"/>
    <x v="22"/>
    <n v="4"/>
  </r>
  <r>
    <x v="83"/>
    <s v="O1178"/>
    <x v="2"/>
    <x v="0"/>
    <x v="0"/>
    <x v="2"/>
    <x v="1"/>
    <x v="14"/>
    <x v="20"/>
    <x v="22"/>
    <n v="1"/>
  </r>
  <r>
    <x v="84"/>
    <s v="O1179"/>
    <x v="4"/>
    <x v="0"/>
    <x v="0"/>
    <x v="4"/>
    <x v="1"/>
    <x v="7"/>
    <x v="21"/>
    <x v="21"/>
    <n v="3"/>
  </r>
  <r>
    <x v="85"/>
    <s v="O1180"/>
    <x v="2"/>
    <x v="0"/>
    <x v="0"/>
    <x v="2"/>
    <x v="2"/>
    <x v="10"/>
    <x v="21"/>
    <x v="22"/>
    <n v="2"/>
  </r>
  <r>
    <x v="86"/>
    <s v="O1181"/>
    <x v="4"/>
    <x v="0"/>
    <x v="0"/>
    <x v="4"/>
    <x v="1"/>
    <x v="7"/>
    <x v="21"/>
    <x v="21"/>
    <n v="4"/>
  </r>
  <r>
    <x v="87"/>
    <s v="O1182"/>
    <x v="2"/>
    <x v="0"/>
    <x v="0"/>
    <x v="2"/>
    <x v="2"/>
    <x v="10"/>
    <x v="21"/>
    <x v="22"/>
    <n v="2"/>
  </r>
  <r>
    <x v="88"/>
    <s v="O1183"/>
    <x v="7"/>
    <x v="1"/>
    <x v="3"/>
    <x v="7"/>
    <x v="0"/>
    <x v="19"/>
    <x v="22"/>
    <x v="22"/>
    <n v="2"/>
  </r>
  <r>
    <x v="89"/>
    <s v="O1184"/>
    <x v="7"/>
    <x v="1"/>
    <x v="3"/>
    <x v="7"/>
    <x v="0"/>
    <x v="19"/>
    <x v="22"/>
    <x v="22"/>
    <n v="2"/>
  </r>
  <r>
    <x v="90"/>
    <s v="O1185"/>
    <x v="3"/>
    <x v="0"/>
    <x v="0"/>
    <x v="3"/>
    <x v="2"/>
    <x v="14"/>
    <x v="23"/>
    <x v="23"/>
    <n v="1"/>
  </r>
  <r>
    <x v="91"/>
    <s v="O1186"/>
    <x v="3"/>
    <x v="0"/>
    <x v="0"/>
    <x v="3"/>
    <x v="2"/>
    <x v="14"/>
    <x v="23"/>
    <x v="24"/>
    <n v="1"/>
  </r>
  <r>
    <x v="92"/>
    <s v="O1187"/>
    <x v="3"/>
    <x v="0"/>
    <x v="0"/>
    <x v="3"/>
    <x v="2"/>
    <x v="14"/>
    <x v="23"/>
    <x v="23"/>
    <n v="3"/>
  </r>
  <r>
    <x v="93"/>
    <s v="O1188"/>
    <x v="3"/>
    <x v="0"/>
    <x v="0"/>
    <x v="3"/>
    <x v="2"/>
    <x v="14"/>
    <x v="23"/>
    <x v="24"/>
    <n v="3"/>
  </r>
  <r>
    <x v="94"/>
    <s v="O1189"/>
    <x v="2"/>
    <x v="0"/>
    <x v="0"/>
    <x v="2"/>
    <x v="0"/>
    <x v="2"/>
    <x v="24"/>
    <x v="25"/>
    <n v="4"/>
  </r>
  <r>
    <x v="95"/>
    <s v="O1190"/>
    <x v="2"/>
    <x v="0"/>
    <x v="0"/>
    <x v="2"/>
    <x v="0"/>
    <x v="2"/>
    <x v="24"/>
    <x v="25"/>
    <n v="1"/>
  </r>
  <r>
    <x v="96"/>
    <s v="O1191"/>
    <x v="2"/>
    <x v="0"/>
    <x v="0"/>
    <x v="2"/>
    <x v="1"/>
    <x v="14"/>
    <x v="25"/>
    <x v="23"/>
    <n v="3"/>
  </r>
  <r>
    <x v="97"/>
    <s v="O1192"/>
    <x v="2"/>
    <x v="0"/>
    <x v="0"/>
    <x v="2"/>
    <x v="1"/>
    <x v="14"/>
    <x v="25"/>
    <x v="23"/>
    <n v="2"/>
  </r>
  <r>
    <x v="98"/>
    <s v="O1193"/>
    <x v="2"/>
    <x v="0"/>
    <x v="0"/>
    <x v="2"/>
    <x v="1"/>
    <x v="14"/>
    <x v="25"/>
    <x v="23"/>
    <n v="1"/>
  </r>
  <r>
    <x v="99"/>
    <s v="O1194"/>
    <x v="3"/>
    <x v="0"/>
    <x v="0"/>
    <x v="3"/>
    <x v="2"/>
    <x v="14"/>
    <x v="26"/>
    <x v="26"/>
    <n v="1"/>
  </r>
  <r>
    <x v="100"/>
    <s v="O1195"/>
    <x v="3"/>
    <x v="0"/>
    <x v="0"/>
    <x v="3"/>
    <x v="0"/>
    <x v="12"/>
    <x v="26"/>
    <x v="26"/>
    <n v="1"/>
  </r>
  <r>
    <x v="101"/>
    <s v="O1196"/>
    <x v="3"/>
    <x v="0"/>
    <x v="0"/>
    <x v="3"/>
    <x v="2"/>
    <x v="14"/>
    <x v="26"/>
    <x v="26"/>
    <n v="2"/>
  </r>
  <r>
    <x v="102"/>
    <s v="O1197"/>
    <x v="3"/>
    <x v="0"/>
    <x v="0"/>
    <x v="3"/>
    <x v="0"/>
    <x v="12"/>
    <x v="26"/>
    <x v="26"/>
    <n v="2"/>
  </r>
  <r>
    <x v="103"/>
    <s v="O1198"/>
    <x v="2"/>
    <x v="0"/>
    <x v="2"/>
    <x v="2"/>
    <x v="0"/>
    <x v="20"/>
    <x v="27"/>
    <x v="27"/>
    <n v="2"/>
  </r>
  <r>
    <x v="104"/>
    <s v="O1199"/>
    <x v="2"/>
    <x v="0"/>
    <x v="2"/>
    <x v="2"/>
    <x v="0"/>
    <x v="20"/>
    <x v="27"/>
    <x v="27"/>
    <n v="4"/>
  </r>
  <r>
    <x v="105"/>
    <s v="O1200"/>
    <x v="10"/>
    <x v="1"/>
    <x v="2"/>
    <x v="8"/>
    <x v="0"/>
    <x v="21"/>
    <x v="28"/>
    <x v="27"/>
    <n v="2"/>
  </r>
  <r>
    <x v="106"/>
    <s v="O1201"/>
    <x v="6"/>
    <x v="0"/>
    <x v="3"/>
    <x v="6"/>
    <x v="0"/>
    <x v="22"/>
    <x v="28"/>
    <x v="28"/>
    <n v="3"/>
  </r>
  <r>
    <x v="107"/>
    <s v="O1202"/>
    <x v="10"/>
    <x v="1"/>
    <x v="2"/>
    <x v="8"/>
    <x v="0"/>
    <x v="21"/>
    <x v="28"/>
    <x v="27"/>
    <n v="3"/>
  </r>
  <r>
    <x v="108"/>
    <s v="O1203"/>
    <x v="6"/>
    <x v="0"/>
    <x v="3"/>
    <x v="6"/>
    <x v="0"/>
    <x v="22"/>
    <x v="28"/>
    <x v="28"/>
    <n v="4"/>
  </r>
  <r>
    <x v="109"/>
    <s v="O1204"/>
    <x v="10"/>
    <x v="1"/>
    <x v="2"/>
    <x v="8"/>
    <x v="0"/>
    <x v="21"/>
    <x v="28"/>
    <x v="27"/>
    <n v="4"/>
  </r>
  <r>
    <x v="110"/>
    <s v="O1205"/>
    <x v="6"/>
    <x v="0"/>
    <x v="3"/>
    <x v="6"/>
    <x v="0"/>
    <x v="22"/>
    <x v="28"/>
    <x v="28"/>
    <n v="1"/>
  </r>
  <r>
    <x v="111"/>
    <s v="O1206"/>
    <x v="5"/>
    <x v="0"/>
    <x v="0"/>
    <x v="5"/>
    <x v="2"/>
    <x v="23"/>
    <x v="29"/>
    <x v="29"/>
    <n v="1"/>
  </r>
  <r>
    <x v="112"/>
    <s v="O1207"/>
    <x v="2"/>
    <x v="0"/>
    <x v="2"/>
    <x v="2"/>
    <x v="0"/>
    <x v="20"/>
    <x v="29"/>
    <x v="30"/>
    <n v="2"/>
  </r>
  <r>
    <x v="113"/>
    <s v="O1208"/>
    <x v="5"/>
    <x v="0"/>
    <x v="0"/>
    <x v="5"/>
    <x v="2"/>
    <x v="23"/>
    <x v="29"/>
    <x v="29"/>
    <n v="1"/>
  </r>
  <r>
    <x v="114"/>
    <s v="O1209"/>
    <x v="2"/>
    <x v="0"/>
    <x v="2"/>
    <x v="2"/>
    <x v="0"/>
    <x v="20"/>
    <x v="29"/>
    <x v="30"/>
    <n v="4"/>
  </r>
  <r>
    <x v="115"/>
    <s v="O1210"/>
    <x v="2"/>
    <x v="0"/>
    <x v="2"/>
    <x v="2"/>
    <x v="0"/>
    <x v="20"/>
    <x v="29"/>
    <x v="30"/>
    <n v="2"/>
  </r>
  <r>
    <x v="116"/>
    <s v="O1211"/>
    <x v="3"/>
    <x v="0"/>
    <x v="2"/>
    <x v="3"/>
    <x v="1"/>
    <x v="4"/>
    <x v="30"/>
    <x v="31"/>
    <n v="4"/>
  </r>
  <r>
    <x v="117"/>
    <s v="O1212"/>
    <x v="2"/>
    <x v="0"/>
    <x v="0"/>
    <x v="2"/>
    <x v="0"/>
    <x v="2"/>
    <x v="30"/>
    <x v="31"/>
    <n v="3"/>
  </r>
  <r>
    <x v="118"/>
    <s v="O1213"/>
    <x v="5"/>
    <x v="0"/>
    <x v="0"/>
    <x v="5"/>
    <x v="0"/>
    <x v="14"/>
    <x v="30"/>
    <x v="32"/>
    <n v="3"/>
  </r>
  <r>
    <x v="119"/>
    <s v="O1214"/>
    <x v="2"/>
    <x v="0"/>
    <x v="0"/>
    <x v="2"/>
    <x v="2"/>
    <x v="10"/>
    <x v="30"/>
    <x v="33"/>
    <n v="1"/>
  </r>
  <r>
    <x v="120"/>
    <s v="O1215"/>
    <x v="3"/>
    <x v="0"/>
    <x v="2"/>
    <x v="3"/>
    <x v="1"/>
    <x v="4"/>
    <x v="30"/>
    <x v="31"/>
    <n v="3"/>
  </r>
  <r>
    <x v="121"/>
    <s v="O1216"/>
    <x v="2"/>
    <x v="0"/>
    <x v="0"/>
    <x v="2"/>
    <x v="0"/>
    <x v="2"/>
    <x v="30"/>
    <x v="31"/>
    <n v="1"/>
  </r>
  <r>
    <x v="122"/>
    <s v="O1217"/>
    <x v="5"/>
    <x v="0"/>
    <x v="0"/>
    <x v="5"/>
    <x v="0"/>
    <x v="14"/>
    <x v="30"/>
    <x v="32"/>
    <n v="2"/>
  </r>
  <r>
    <x v="123"/>
    <s v="O1218"/>
    <x v="2"/>
    <x v="0"/>
    <x v="0"/>
    <x v="2"/>
    <x v="2"/>
    <x v="10"/>
    <x v="30"/>
    <x v="33"/>
    <n v="3"/>
  </r>
  <r>
    <x v="124"/>
    <s v="O1219"/>
    <x v="2"/>
    <x v="0"/>
    <x v="3"/>
    <x v="2"/>
    <x v="0"/>
    <x v="5"/>
    <x v="31"/>
    <x v="29"/>
    <n v="3"/>
  </r>
  <r>
    <x v="125"/>
    <s v="O1220"/>
    <x v="2"/>
    <x v="0"/>
    <x v="3"/>
    <x v="2"/>
    <x v="0"/>
    <x v="5"/>
    <x v="31"/>
    <x v="29"/>
    <n v="3"/>
  </r>
  <r>
    <x v="126"/>
    <s v="O1221"/>
    <x v="3"/>
    <x v="0"/>
    <x v="0"/>
    <x v="3"/>
    <x v="0"/>
    <x v="12"/>
    <x v="32"/>
    <x v="34"/>
    <n v="1"/>
  </r>
  <r>
    <x v="127"/>
    <s v="O1222"/>
    <x v="3"/>
    <x v="0"/>
    <x v="0"/>
    <x v="3"/>
    <x v="0"/>
    <x v="12"/>
    <x v="32"/>
    <x v="34"/>
    <n v="3"/>
  </r>
  <r>
    <x v="128"/>
    <s v="O1223"/>
    <x v="2"/>
    <x v="0"/>
    <x v="0"/>
    <x v="2"/>
    <x v="0"/>
    <x v="2"/>
    <x v="33"/>
    <x v="35"/>
    <n v="4"/>
  </r>
  <r>
    <x v="129"/>
    <s v="O1224"/>
    <x v="2"/>
    <x v="0"/>
    <x v="0"/>
    <x v="2"/>
    <x v="0"/>
    <x v="2"/>
    <x v="33"/>
    <x v="35"/>
    <n v="2"/>
  </r>
  <r>
    <x v="130"/>
    <s v="O1225"/>
    <x v="2"/>
    <x v="0"/>
    <x v="0"/>
    <x v="2"/>
    <x v="0"/>
    <x v="2"/>
    <x v="33"/>
    <x v="35"/>
    <n v="1"/>
  </r>
  <r>
    <x v="131"/>
    <s v="O1226"/>
    <x v="2"/>
    <x v="0"/>
    <x v="3"/>
    <x v="2"/>
    <x v="0"/>
    <x v="5"/>
    <x v="34"/>
    <x v="35"/>
    <n v="4"/>
  </r>
  <r>
    <x v="132"/>
    <s v="O1227"/>
    <x v="2"/>
    <x v="0"/>
    <x v="3"/>
    <x v="2"/>
    <x v="0"/>
    <x v="5"/>
    <x v="34"/>
    <x v="35"/>
    <n v="3"/>
  </r>
  <r>
    <x v="133"/>
    <s v="O1228"/>
    <x v="2"/>
    <x v="0"/>
    <x v="3"/>
    <x v="2"/>
    <x v="0"/>
    <x v="5"/>
    <x v="34"/>
    <x v="35"/>
    <n v="2"/>
  </r>
  <r>
    <x v="134"/>
    <s v="O1229"/>
    <x v="3"/>
    <x v="0"/>
    <x v="0"/>
    <x v="3"/>
    <x v="0"/>
    <x v="12"/>
    <x v="35"/>
    <x v="35"/>
    <n v="2"/>
  </r>
  <r>
    <x v="135"/>
    <s v="O1230"/>
    <x v="2"/>
    <x v="0"/>
    <x v="3"/>
    <x v="2"/>
    <x v="1"/>
    <x v="15"/>
    <x v="35"/>
    <x v="36"/>
    <n v="2"/>
  </r>
  <r>
    <x v="136"/>
    <s v="O1231"/>
    <x v="3"/>
    <x v="0"/>
    <x v="0"/>
    <x v="3"/>
    <x v="0"/>
    <x v="12"/>
    <x v="35"/>
    <x v="35"/>
    <n v="4"/>
  </r>
  <r>
    <x v="137"/>
    <s v="O1232"/>
    <x v="2"/>
    <x v="0"/>
    <x v="3"/>
    <x v="2"/>
    <x v="1"/>
    <x v="15"/>
    <x v="35"/>
    <x v="36"/>
    <n v="1"/>
  </r>
  <r>
    <x v="138"/>
    <s v="O1233"/>
    <x v="4"/>
    <x v="0"/>
    <x v="2"/>
    <x v="4"/>
    <x v="1"/>
    <x v="24"/>
    <x v="36"/>
    <x v="35"/>
    <n v="4"/>
  </r>
  <r>
    <x v="139"/>
    <s v="O1234"/>
    <x v="4"/>
    <x v="0"/>
    <x v="2"/>
    <x v="4"/>
    <x v="1"/>
    <x v="24"/>
    <x v="36"/>
    <x v="35"/>
    <n v="1"/>
  </r>
  <r>
    <x v="140"/>
    <s v="O1235"/>
    <x v="4"/>
    <x v="0"/>
    <x v="0"/>
    <x v="4"/>
    <x v="1"/>
    <x v="7"/>
    <x v="37"/>
    <x v="37"/>
    <n v="2"/>
  </r>
  <r>
    <x v="141"/>
    <s v="O1236"/>
    <x v="4"/>
    <x v="0"/>
    <x v="0"/>
    <x v="4"/>
    <x v="1"/>
    <x v="7"/>
    <x v="37"/>
    <x v="38"/>
    <n v="3"/>
  </r>
  <r>
    <x v="142"/>
    <s v="O1237"/>
    <x v="4"/>
    <x v="0"/>
    <x v="0"/>
    <x v="4"/>
    <x v="1"/>
    <x v="7"/>
    <x v="37"/>
    <x v="37"/>
    <n v="4"/>
  </r>
  <r>
    <x v="143"/>
    <s v="O1238"/>
    <x v="4"/>
    <x v="0"/>
    <x v="0"/>
    <x v="4"/>
    <x v="1"/>
    <x v="7"/>
    <x v="37"/>
    <x v="38"/>
    <n v="1"/>
  </r>
  <r>
    <x v="144"/>
    <s v="O1239"/>
    <x v="4"/>
    <x v="0"/>
    <x v="0"/>
    <x v="4"/>
    <x v="1"/>
    <x v="7"/>
    <x v="37"/>
    <x v="37"/>
    <n v="2"/>
  </r>
  <r>
    <x v="145"/>
    <s v="O1240"/>
    <x v="7"/>
    <x v="1"/>
    <x v="0"/>
    <x v="7"/>
    <x v="2"/>
    <x v="16"/>
    <x v="38"/>
    <x v="39"/>
    <n v="3"/>
  </r>
  <r>
    <x v="146"/>
    <s v="O1241"/>
    <x v="7"/>
    <x v="1"/>
    <x v="0"/>
    <x v="7"/>
    <x v="2"/>
    <x v="16"/>
    <x v="38"/>
    <x v="39"/>
    <n v="1"/>
  </r>
  <r>
    <x v="147"/>
    <s v="O1242"/>
    <x v="11"/>
    <x v="1"/>
    <x v="0"/>
    <x v="10"/>
    <x v="2"/>
    <x v="25"/>
    <x v="39"/>
    <x v="40"/>
    <n v="4"/>
  </r>
  <r>
    <x v="148"/>
    <s v="O1243"/>
    <x v="11"/>
    <x v="1"/>
    <x v="0"/>
    <x v="10"/>
    <x v="2"/>
    <x v="25"/>
    <x v="39"/>
    <x v="40"/>
    <n v="1"/>
  </r>
  <r>
    <x v="149"/>
    <s v="O1244"/>
    <x v="6"/>
    <x v="0"/>
    <x v="0"/>
    <x v="6"/>
    <x v="0"/>
    <x v="26"/>
    <x v="40"/>
    <x v="41"/>
    <n v="2"/>
  </r>
  <r>
    <x v="150"/>
    <s v="O1245"/>
    <x v="2"/>
    <x v="0"/>
    <x v="0"/>
    <x v="2"/>
    <x v="1"/>
    <x v="14"/>
    <x v="40"/>
    <x v="41"/>
    <n v="2"/>
  </r>
  <r>
    <x v="151"/>
    <s v="O1246"/>
    <x v="2"/>
    <x v="0"/>
    <x v="0"/>
    <x v="2"/>
    <x v="1"/>
    <x v="14"/>
    <x v="40"/>
    <x v="41"/>
    <n v="2"/>
  </r>
  <r>
    <x v="152"/>
    <s v="O1247"/>
    <x v="6"/>
    <x v="0"/>
    <x v="0"/>
    <x v="6"/>
    <x v="0"/>
    <x v="26"/>
    <x v="40"/>
    <x v="41"/>
    <n v="4"/>
  </r>
  <r>
    <x v="153"/>
    <s v="O1248"/>
    <x v="2"/>
    <x v="0"/>
    <x v="0"/>
    <x v="2"/>
    <x v="1"/>
    <x v="14"/>
    <x v="40"/>
    <x v="41"/>
    <n v="3"/>
  </r>
  <r>
    <x v="154"/>
    <s v="O1249"/>
    <x v="2"/>
    <x v="0"/>
    <x v="0"/>
    <x v="2"/>
    <x v="1"/>
    <x v="14"/>
    <x v="40"/>
    <x v="41"/>
    <n v="4"/>
  </r>
  <r>
    <x v="155"/>
    <s v="O1250"/>
    <x v="2"/>
    <x v="0"/>
    <x v="2"/>
    <x v="2"/>
    <x v="0"/>
    <x v="20"/>
    <x v="41"/>
    <x v="42"/>
    <n v="2"/>
  </r>
  <r>
    <x v="156"/>
    <s v="O1251"/>
    <x v="2"/>
    <x v="0"/>
    <x v="0"/>
    <x v="2"/>
    <x v="0"/>
    <x v="2"/>
    <x v="41"/>
    <x v="43"/>
    <n v="2"/>
  </r>
  <r>
    <x v="157"/>
    <s v="O1252"/>
    <x v="3"/>
    <x v="0"/>
    <x v="0"/>
    <x v="3"/>
    <x v="0"/>
    <x v="12"/>
    <x v="41"/>
    <x v="44"/>
    <n v="4"/>
  </r>
  <r>
    <x v="158"/>
    <s v="O1253"/>
    <x v="2"/>
    <x v="0"/>
    <x v="0"/>
    <x v="2"/>
    <x v="2"/>
    <x v="10"/>
    <x v="41"/>
    <x v="42"/>
    <n v="1"/>
  </r>
  <r>
    <x v="159"/>
    <s v="O1254"/>
    <x v="2"/>
    <x v="0"/>
    <x v="2"/>
    <x v="2"/>
    <x v="0"/>
    <x v="20"/>
    <x v="41"/>
    <x v="42"/>
    <n v="3"/>
  </r>
  <r>
    <x v="160"/>
    <s v="O1255"/>
    <x v="2"/>
    <x v="0"/>
    <x v="0"/>
    <x v="2"/>
    <x v="0"/>
    <x v="2"/>
    <x v="41"/>
    <x v="43"/>
    <n v="1"/>
  </r>
  <r>
    <x v="161"/>
    <s v="O1256"/>
    <x v="3"/>
    <x v="0"/>
    <x v="0"/>
    <x v="3"/>
    <x v="0"/>
    <x v="12"/>
    <x v="41"/>
    <x v="44"/>
    <n v="1"/>
  </r>
  <r>
    <x v="162"/>
    <s v="O1257"/>
    <x v="2"/>
    <x v="0"/>
    <x v="0"/>
    <x v="2"/>
    <x v="2"/>
    <x v="10"/>
    <x v="41"/>
    <x v="42"/>
    <n v="3"/>
  </r>
  <r>
    <x v="163"/>
    <s v="O1258"/>
    <x v="2"/>
    <x v="0"/>
    <x v="0"/>
    <x v="2"/>
    <x v="1"/>
    <x v="14"/>
    <x v="42"/>
    <x v="45"/>
    <n v="4"/>
  </r>
  <r>
    <x v="164"/>
    <s v="O1259"/>
    <x v="4"/>
    <x v="0"/>
    <x v="0"/>
    <x v="4"/>
    <x v="0"/>
    <x v="9"/>
    <x v="42"/>
    <x v="44"/>
    <n v="2"/>
  </r>
  <r>
    <x v="165"/>
    <s v="O1260"/>
    <x v="2"/>
    <x v="0"/>
    <x v="0"/>
    <x v="2"/>
    <x v="1"/>
    <x v="14"/>
    <x v="42"/>
    <x v="45"/>
    <n v="1"/>
  </r>
  <r>
    <x v="166"/>
    <s v="O1261"/>
    <x v="4"/>
    <x v="0"/>
    <x v="0"/>
    <x v="4"/>
    <x v="0"/>
    <x v="9"/>
    <x v="42"/>
    <x v="44"/>
    <n v="1"/>
  </r>
  <r>
    <x v="167"/>
    <s v="O1262"/>
    <x v="2"/>
    <x v="0"/>
    <x v="0"/>
    <x v="2"/>
    <x v="1"/>
    <x v="14"/>
    <x v="42"/>
    <x v="45"/>
    <n v="2"/>
  </r>
  <r>
    <x v="168"/>
    <s v="O1263"/>
    <x v="4"/>
    <x v="0"/>
    <x v="0"/>
    <x v="4"/>
    <x v="0"/>
    <x v="9"/>
    <x v="42"/>
    <x v="44"/>
    <n v="2"/>
  </r>
  <r>
    <x v="169"/>
    <s v="O1264"/>
    <x v="2"/>
    <x v="0"/>
    <x v="0"/>
    <x v="2"/>
    <x v="2"/>
    <x v="10"/>
    <x v="43"/>
    <x v="46"/>
    <n v="2"/>
  </r>
  <r>
    <x v="170"/>
    <s v="O1265"/>
    <x v="11"/>
    <x v="1"/>
    <x v="3"/>
    <x v="10"/>
    <x v="0"/>
    <x v="27"/>
    <x v="43"/>
    <x v="47"/>
    <n v="4"/>
  </r>
  <r>
    <x v="171"/>
    <s v="O1266"/>
    <x v="2"/>
    <x v="0"/>
    <x v="2"/>
    <x v="2"/>
    <x v="0"/>
    <x v="20"/>
    <x v="43"/>
    <x v="48"/>
    <n v="2"/>
  </r>
  <r>
    <x v="172"/>
    <s v="O1267"/>
    <x v="2"/>
    <x v="0"/>
    <x v="0"/>
    <x v="2"/>
    <x v="2"/>
    <x v="10"/>
    <x v="43"/>
    <x v="46"/>
    <n v="4"/>
  </r>
  <r>
    <x v="173"/>
    <s v="O1268"/>
    <x v="11"/>
    <x v="1"/>
    <x v="3"/>
    <x v="10"/>
    <x v="0"/>
    <x v="27"/>
    <x v="43"/>
    <x v="47"/>
    <n v="4"/>
  </r>
  <r>
    <x v="174"/>
    <s v="O1269"/>
    <x v="2"/>
    <x v="0"/>
    <x v="2"/>
    <x v="2"/>
    <x v="0"/>
    <x v="20"/>
    <x v="43"/>
    <x v="48"/>
    <n v="1"/>
  </r>
  <r>
    <x v="175"/>
    <s v="O1270"/>
    <x v="2"/>
    <x v="0"/>
    <x v="0"/>
    <x v="2"/>
    <x v="0"/>
    <x v="2"/>
    <x v="44"/>
    <x v="49"/>
    <n v="3"/>
  </r>
  <r>
    <x v="176"/>
    <s v="O1271"/>
    <x v="2"/>
    <x v="0"/>
    <x v="0"/>
    <x v="2"/>
    <x v="0"/>
    <x v="2"/>
    <x v="44"/>
    <x v="49"/>
    <n v="2"/>
  </r>
  <r>
    <x v="177"/>
    <s v="O1272"/>
    <x v="6"/>
    <x v="0"/>
    <x v="0"/>
    <x v="6"/>
    <x v="0"/>
    <x v="26"/>
    <x v="45"/>
    <x v="48"/>
    <n v="3"/>
  </r>
  <r>
    <x v="178"/>
    <s v="O1273"/>
    <x v="3"/>
    <x v="0"/>
    <x v="0"/>
    <x v="3"/>
    <x v="0"/>
    <x v="12"/>
    <x v="45"/>
    <x v="47"/>
    <n v="2"/>
  </r>
  <r>
    <x v="179"/>
    <s v="O1274"/>
    <x v="6"/>
    <x v="0"/>
    <x v="0"/>
    <x v="6"/>
    <x v="0"/>
    <x v="26"/>
    <x v="45"/>
    <x v="48"/>
    <n v="2"/>
  </r>
  <r>
    <x v="180"/>
    <s v="O1275"/>
    <x v="3"/>
    <x v="0"/>
    <x v="0"/>
    <x v="3"/>
    <x v="0"/>
    <x v="12"/>
    <x v="45"/>
    <x v="47"/>
    <n v="3"/>
  </r>
  <r>
    <x v="181"/>
    <s v="O1276"/>
    <x v="2"/>
    <x v="0"/>
    <x v="0"/>
    <x v="2"/>
    <x v="0"/>
    <x v="2"/>
    <x v="46"/>
    <x v="50"/>
    <n v="4"/>
  </r>
  <r>
    <x v="182"/>
    <s v="O1277"/>
    <x v="2"/>
    <x v="0"/>
    <x v="0"/>
    <x v="2"/>
    <x v="0"/>
    <x v="2"/>
    <x v="46"/>
    <x v="50"/>
    <n v="4"/>
  </r>
  <r>
    <x v="183"/>
    <s v="O1278"/>
    <x v="2"/>
    <x v="0"/>
    <x v="0"/>
    <x v="2"/>
    <x v="0"/>
    <x v="2"/>
    <x v="46"/>
    <x v="50"/>
    <n v="4"/>
  </r>
  <r>
    <x v="184"/>
    <s v="O1279"/>
    <x v="3"/>
    <x v="0"/>
    <x v="0"/>
    <x v="3"/>
    <x v="0"/>
    <x v="12"/>
    <x v="47"/>
    <x v="50"/>
    <n v="4"/>
  </r>
  <r>
    <x v="185"/>
    <s v="O1280"/>
    <x v="10"/>
    <x v="1"/>
    <x v="0"/>
    <x v="8"/>
    <x v="0"/>
    <x v="18"/>
    <x v="47"/>
    <x v="51"/>
    <n v="2"/>
  </r>
  <r>
    <x v="186"/>
    <s v="O1281"/>
    <x v="3"/>
    <x v="0"/>
    <x v="0"/>
    <x v="3"/>
    <x v="0"/>
    <x v="12"/>
    <x v="47"/>
    <x v="50"/>
    <n v="3"/>
  </r>
  <r>
    <x v="187"/>
    <s v="O1282"/>
    <x v="10"/>
    <x v="1"/>
    <x v="0"/>
    <x v="8"/>
    <x v="0"/>
    <x v="18"/>
    <x v="47"/>
    <x v="51"/>
    <n v="2"/>
  </r>
  <r>
    <x v="188"/>
    <s v="O1283"/>
    <x v="4"/>
    <x v="0"/>
    <x v="3"/>
    <x v="4"/>
    <x v="0"/>
    <x v="8"/>
    <x v="48"/>
    <x v="52"/>
    <n v="3"/>
  </r>
  <r>
    <x v="189"/>
    <s v="O1284"/>
    <x v="4"/>
    <x v="0"/>
    <x v="3"/>
    <x v="4"/>
    <x v="0"/>
    <x v="8"/>
    <x v="48"/>
    <x v="52"/>
    <n v="1"/>
  </r>
  <r>
    <x v="190"/>
    <s v="O1285"/>
    <x v="2"/>
    <x v="0"/>
    <x v="3"/>
    <x v="2"/>
    <x v="0"/>
    <x v="5"/>
    <x v="49"/>
    <x v="53"/>
    <n v="1"/>
  </r>
  <r>
    <x v="191"/>
    <s v="O1286"/>
    <x v="2"/>
    <x v="0"/>
    <x v="3"/>
    <x v="2"/>
    <x v="0"/>
    <x v="5"/>
    <x v="49"/>
    <x v="53"/>
    <n v="2"/>
  </r>
  <r>
    <x v="192"/>
    <s v="O1287"/>
    <x v="3"/>
    <x v="0"/>
    <x v="0"/>
    <x v="3"/>
    <x v="1"/>
    <x v="2"/>
    <x v="50"/>
    <x v="53"/>
    <n v="2"/>
  </r>
  <r>
    <x v="193"/>
    <s v="O1288"/>
    <x v="2"/>
    <x v="0"/>
    <x v="0"/>
    <x v="2"/>
    <x v="0"/>
    <x v="2"/>
    <x v="50"/>
    <x v="54"/>
    <n v="1"/>
  </r>
  <r>
    <x v="194"/>
    <s v="O1289"/>
    <x v="5"/>
    <x v="0"/>
    <x v="2"/>
    <x v="5"/>
    <x v="0"/>
    <x v="28"/>
    <x v="50"/>
    <x v="55"/>
    <n v="4"/>
  </r>
  <r>
    <x v="195"/>
    <s v="O1290"/>
    <x v="3"/>
    <x v="0"/>
    <x v="0"/>
    <x v="3"/>
    <x v="1"/>
    <x v="2"/>
    <x v="50"/>
    <x v="53"/>
    <n v="4"/>
  </r>
  <r>
    <x v="196"/>
    <s v="O1291"/>
    <x v="2"/>
    <x v="0"/>
    <x v="0"/>
    <x v="2"/>
    <x v="0"/>
    <x v="2"/>
    <x v="50"/>
    <x v="54"/>
    <n v="4"/>
  </r>
  <r>
    <x v="197"/>
    <s v="O1292"/>
    <x v="5"/>
    <x v="0"/>
    <x v="2"/>
    <x v="5"/>
    <x v="0"/>
    <x v="28"/>
    <x v="50"/>
    <x v="55"/>
    <n v="3"/>
  </r>
  <r>
    <x v="198"/>
    <s v="O1293"/>
    <x v="5"/>
    <x v="0"/>
    <x v="2"/>
    <x v="5"/>
    <x v="0"/>
    <x v="28"/>
    <x v="50"/>
    <x v="55"/>
    <n v="4"/>
  </r>
  <r>
    <x v="199"/>
    <s v="O1294"/>
    <x v="2"/>
    <x v="0"/>
    <x v="0"/>
    <x v="2"/>
    <x v="2"/>
    <x v="10"/>
    <x v="51"/>
    <x v="56"/>
    <n v="1"/>
  </r>
  <r>
    <x v="200"/>
    <s v="O1295"/>
    <x v="2"/>
    <x v="0"/>
    <x v="0"/>
    <x v="2"/>
    <x v="2"/>
    <x v="10"/>
    <x v="51"/>
    <x v="56"/>
    <n v="1"/>
  </r>
  <r>
    <x v="201"/>
    <s v="O1296"/>
    <x v="3"/>
    <x v="0"/>
    <x v="0"/>
    <x v="3"/>
    <x v="0"/>
    <x v="12"/>
    <x v="52"/>
    <x v="57"/>
    <n v="1"/>
  </r>
  <r>
    <x v="202"/>
    <s v="O1297"/>
    <x v="3"/>
    <x v="0"/>
    <x v="0"/>
    <x v="3"/>
    <x v="0"/>
    <x v="12"/>
    <x v="52"/>
    <x v="57"/>
    <n v="3"/>
  </r>
  <r>
    <x v="203"/>
    <s v="O1298"/>
    <x v="4"/>
    <x v="0"/>
    <x v="3"/>
    <x v="4"/>
    <x v="1"/>
    <x v="28"/>
    <x v="53"/>
    <x v="56"/>
    <n v="3"/>
  </r>
  <r>
    <x v="204"/>
    <s v="O1299"/>
    <x v="4"/>
    <x v="0"/>
    <x v="3"/>
    <x v="4"/>
    <x v="1"/>
    <x v="28"/>
    <x v="53"/>
    <x v="56"/>
    <n v="1"/>
  </r>
  <r>
    <x v="205"/>
    <s v="O1300"/>
    <x v="6"/>
    <x v="0"/>
    <x v="0"/>
    <x v="6"/>
    <x v="0"/>
    <x v="26"/>
    <x v="54"/>
    <x v="58"/>
    <n v="1"/>
  </r>
  <r>
    <x v="206"/>
    <s v="O1301"/>
    <x v="6"/>
    <x v="0"/>
    <x v="0"/>
    <x v="6"/>
    <x v="0"/>
    <x v="26"/>
    <x v="54"/>
    <x v="58"/>
    <n v="4"/>
  </r>
  <r>
    <x v="207"/>
    <s v="O1302"/>
    <x v="5"/>
    <x v="0"/>
    <x v="3"/>
    <x v="5"/>
    <x v="0"/>
    <x v="17"/>
    <x v="55"/>
    <x v="58"/>
    <n v="2"/>
  </r>
  <r>
    <x v="208"/>
    <s v="O1303"/>
    <x v="5"/>
    <x v="0"/>
    <x v="3"/>
    <x v="5"/>
    <x v="0"/>
    <x v="17"/>
    <x v="55"/>
    <x v="58"/>
    <n v="4"/>
  </r>
  <r>
    <x v="209"/>
    <s v="O1304"/>
    <x v="2"/>
    <x v="0"/>
    <x v="3"/>
    <x v="2"/>
    <x v="0"/>
    <x v="5"/>
    <x v="56"/>
    <x v="59"/>
    <n v="1"/>
  </r>
  <r>
    <x v="210"/>
    <s v="O1305"/>
    <x v="2"/>
    <x v="0"/>
    <x v="3"/>
    <x v="2"/>
    <x v="0"/>
    <x v="5"/>
    <x v="56"/>
    <x v="59"/>
    <n v="2"/>
  </r>
  <r>
    <x v="211"/>
    <s v="O1306"/>
    <x v="5"/>
    <x v="0"/>
    <x v="0"/>
    <x v="5"/>
    <x v="1"/>
    <x v="10"/>
    <x v="57"/>
    <x v="59"/>
    <n v="3"/>
  </r>
  <r>
    <x v="212"/>
    <s v="O1307"/>
    <x v="3"/>
    <x v="0"/>
    <x v="0"/>
    <x v="3"/>
    <x v="0"/>
    <x v="12"/>
    <x v="57"/>
    <x v="58"/>
    <n v="3"/>
  </r>
  <r>
    <x v="213"/>
    <s v="O1308"/>
    <x v="5"/>
    <x v="0"/>
    <x v="0"/>
    <x v="5"/>
    <x v="1"/>
    <x v="10"/>
    <x v="57"/>
    <x v="59"/>
    <n v="2"/>
  </r>
  <r>
    <x v="214"/>
    <s v="O1309"/>
    <x v="3"/>
    <x v="0"/>
    <x v="0"/>
    <x v="3"/>
    <x v="0"/>
    <x v="12"/>
    <x v="57"/>
    <x v="58"/>
    <n v="4"/>
  </r>
  <r>
    <x v="215"/>
    <s v="O1310"/>
    <x v="2"/>
    <x v="0"/>
    <x v="0"/>
    <x v="2"/>
    <x v="0"/>
    <x v="2"/>
    <x v="58"/>
    <x v="60"/>
    <n v="1"/>
  </r>
  <r>
    <x v="216"/>
    <s v="O1311"/>
    <x v="3"/>
    <x v="0"/>
    <x v="0"/>
    <x v="3"/>
    <x v="0"/>
    <x v="12"/>
    <x v="58"/>
    <x v="61"/>
    <n v="3"/>
  </r>
  <r>
    <x v="217"/>
    <s v="O1312"/>
    <x v="2"/>
    <x v="0"/>
    <x v="0"/>
    <x v="2"/>
    <x v="1"/>
    <x v="14"/>
    <x v="58"/>
    <x v="59"/>
    <n v="4"/>
  </r>
  <r>
    <x v="218"/>
    <s v="O1313"/>
    <x v="6"/>
    <x v="0"/>
    <x v="0"/>
    <x v="6"/>
    <x v="0"/>
    <x v="26"/>
    <x v="58"/>
    <x v="62"/>
    <n v="2"/>
  </r>
  <r>
    <x v="219"/>
    <s v="O1314"/>
    <x v="2"/>
    <x v="0"/>
    <x v="0"/>
    <x v="2"/>
    <x v="0"/>
    <x v="2"/>
    <x v="58"/>
    <x v="60"/>
    <n v="3"/>
  </r>
  <r>
    <x v="220"/>
    <s v="O1315"/>
    <x v="3"/>
    <x v="0"/>
    <x v="0"/>
    <x v="3"/>
    <x v="0"/>
    <x v="12"/>
    <x v="58"/>
    <x v="61"/>
    <n v="3"/>
  </r>
  <r>
    <x v="221"/>
    <s v="O1316"/>
    <x v="2"/>
    <x v="0"/>
    <x v="0"/>
    <x v="2"/>
    <x v="1"/>
    <x v="14"/>
    <x v="58"/>
    <x v="59"/>
    <n v="4"/>
  </r>
  <r>
    <x v="222"/>
    <s v="O1317"/>
    <x v="6"/>
    <x v="0"/>
    <x v="0"/>
    <x v="6"/>
    <x v="0"/>
    <x v="26"/>
    <x v="58"/>
    <x v="62"/>
    <n v="2"/>
  </r>
  <r>
    <x v="223"/>
    <s v="O1318"/>
    <x v="2"/>
    <x v="0"/>
    <x v="0"/>
    <x v="2"/>
    <x v="1"/>
    <x v="14"/>
    <x v="58"/>
    <x v="59"/>
    <n v="4"/>
  </r>
  <r>
    <x v="224"/>
    <s v="O1319"/>
    <x v="6"/>
    <x v="0"/>
    <x v="0"/>
    <x v="6"/>
    <x v="0"/>
    <x v="26"/>
    <x v="58"/>
    <x v="62"/>
    <n v="1"/>
  </r>
  <r>
    <x v="225"/>
    <s v="O1320"/>
    <x v="6"/>
    <x v="0"/>
    <x v="0"/>
    <x v="6"/>
    <x v="0"/>
    <x v="26"/>
    <x v="59"/>
    <x v="63"/>
    <n v="4"/>
  </r>
  <r>
    <x v="226"/>
    <s v="O1321"/>
    <x v="6"/>
    <x v="0"/>
    <x v="0"/>
    <x v="6"/>
    <x v="0"/>
    <x v="26"/>
    <x v="59"/>
    <x v="63"/>
    <n v="2"/>
  </r>
  <r>
    <x v="227"/>
    <s v="O1322"/>
    <x v="2"/>
    <x v="0"/>
    <x v="0"/>
    <x v="2"/>
    <x v="2"/>
    <x v="10"/>
    <x v="60"/>
    <x v="64"/>
    <n v="1"/>
  </r>
  <r>
    <x v="228"/>
    <s v="O1323"/>
    <x v="2"/>
    <x v="0"/>
    <x v="3"/>
    <x v="2"/>
    <x v="0"/>
    <x v="5"/>
    <x v="60"/>
    <x v="60"/>
    <n v="2"/>
  </r>
  <r>
    <x v="229"/>
    <s v="O1324"/>
    <x v="2"/>
    <x v="0"/>
    <x v="0"/>
    <x v="2"/>
    <x v="2"/>
    <x v="10"/>
    <x v="60"/>
    <x v="64"/>
    <n v="1"/>
  </r>
  <r>
    <x v="230"/>
    <s v="O1325"/>
    <x v="2"/>
    <x v="0"/>
    <x v="3"/>
    <x v="2"/>
    <x v="0"/>
    <x v="5"/>
    <x v="60"/>
    <x v="60"/>
    <n v="2"/>
  </r>
  <r>
    <x v="231"/>
    <s v="O1326"/>
    <x v="3"/>
    <x v="0"/>
    <x v="3"/>
    <x v="3"/>
    <x v="0"/>
    <x v="13"/>
    <x v="61"/>
    <x v="64"/>
    <n v="3"/>
  </r>
  <r>
    <x v="232"/>
    <s v="O1327"/>
    <x v="4"/>
    <x v="0"/>
    <x v="0"/>
    <x v="4"/>
    <x v="0"/>
    <x v="9"/>
    <x v="61"/>
    <x v="64"/>
    <n v="2"/>
  </r>
  <r>
    <x v="233"/>
    <s v="O1328"/>
    <x v="3"/>
    <x v="0"/>
    <x v="2"/>
    <x v="3"/>
    <x v="2"/>
    <x v="29"/>
    <x v="61"/>
    <x v="60"/>
    <n v="3"/>
  </r>
  <r>
    <x v="234"/>
    <s v="O1329"/>
    <x v="2"/>
    <x v="0"/>
    <x v="0"/>
    <x v="2"/>
    <x v="0"/>
    <x v="2"/>
    <x v="61"/>
    <x v="64"/>
    <n v="4"/>
  </r>
  <r>
    <x v="235"/>
    <s v="O1330"/>
    <x v="3"/>
    <x v="0"/>
    <x v="3"/>
    <x v="3"/>
    <x v="0"/>
    <x v="13"/>
    <x v="61"/>
    <x v="64"/>
    <n v="3"/>
  </r>
  <r>
    <x v="236"/>
    <s v="O1331"/>
    <x v="4"/>
    <x v="0"/>
    <x v="0"/>
    <x v="4"/>
    <x v="0"/>
    <x v="9"/>
    <x v="61"/>
    <x v="64"/>
    <n v="1"/>
  </r>
  <r>
    <x v="237"/>
    <s v="O1332"/>
    <x v="3"/>
    <x v="0"/>
    <x v="2"/>
    <x v="3"/>
    <x v="2"/>
    <x v="29"/>
    <x v="61"/>
    <x v="60"/>
    <n v="2"/>
  </r>
  <r>
    <x v="238"/>
    <s v="O1333"/>
    <x v="2"/>
    <x v="0"/>
    <x v="0"/>
    <x v="2"/>
    <x v="0"/>
    <x v="2"/>
    <x v="61"/>
    <x v="64"/>
    <n v="4"/>
  </r>
  <r>
    <x v="239"/>
    <s v="O1334"/>
    <x v="3"/>
    <x v="0"/>
    <x v="2"/>
    <x v="3"/>
    <x v="2"/>
    <x v="29"/>
    <x v="61"/>
    <x v="60"/>
    <n v="1"/>
  </r>
  <r>
    <x v="240"/>
    <s v="O1335"/>
    <x v="2"/>
    <x v="0"/>
    <x v="0"/>
    <x v="2"/>
    <x v="0"/>
    <x v="2"/>
    <x v="61"/>
    <x v="64"/>
    <n v="2"/>
  </r>
  <r>
    <x v="241"/>
    <s v="O1336"/>
    <x v="2"/>
    <x v="0"/>
    <x v="3"/>
    <x v="2"/>
    <x v="1"/>
    <x v="15"/>
    <x v="62"/>
    <x v="65"/>
    <n v="4"/>
  </r>
  <r>
    <x v="242"/>
    <s v="O1337"/>
    <x v="9"/>
    <x v="0"/>
    <x v="3"/>
    <x v="9"/>
    <x v="0"/>
    <x v="30"/>
    <x v="62"/>
    <x v="66"/>
    <n v="1"/>
  </r>
  <r>
    <x v="243"/>
    <s v="O1338"/>
    <x v="2"/>
    <x v="0"/>
    <x v="3"/>
    <x v="2"/>
    <x v="1"/>
    <x v="15"/>
    <x v="62"/>
    <x v="65"/>
    <n v="4"/>
  </r>
  <r>
    <x v="244"/>
    <s v="O1339"/>
    <x v="9"/>
    <x v="0"/>
    <x v="3"/>
    <x v="9"/>
    <x v="0"/>
    <x v="30"/>
    <x v="62"/>
    <x v="66"/>
    <n v="2"/>
  </r>
  <r>
    <x v="245"/>
    <s v="O1340"/>
    <x v="9"/>
    <x v="0"/>
    <x v="3"/>
    <x v="9"/>
    <x v="0"/>
    <x v="30"/>
    <x v="62"/>
    <x v="66"/>
    <n v="4"/>
  </r>
  <r>
    <x v="246"/>
    <s v="O1341"/>
    <x v="4"/>
    <x v="0"/>
    <x v="0"/>
    <x v="4"/>
    <x v="1"/>
    <x v="7"/>
    <x v="63"/>
    <x v="67"/>
    <n v="3"/>
  </r>
  <r>
    <x v="247"/>
    <s v="O1342"/>
    <x v="6"/>
    <x v="0"/>
    <x v="0"/>
    <x v="6"/>
    <x v="0"/>
    <x v="26"/>
    <x v="63"/>
    <x v="64"/>
    <n v="4"/>
  </r>
  <r>
    <x v="248"/>
    <s v="O1343"/>
    <x v="3"/>
    <x v="0"/>
    <x v="0"/>
    <x v="3"/>
    <x v="0"/>
    <x v="12"/>
    <x v="63"/>
    <x v="68"/>
    <n v="3"/>
  </r>
  <r>
    <x v="249"/>
    <s v="O1344"/>
    <x v="4"/>
    <x v="0"/>
    <x v="0"/>
    <x v="4"/>
    <x v="1"/>
    <x v="7"/>
    <x v="63"/>
    <x v="67"/>
    <n v="4"/>
  </r>
  <r>
    <x v="250"/>
    <s v="O1345"/>
    <x v="6"/>
    <x v="0"/>
    <x v="0"/>
    <x v="6"/>
    <x v="0"/>
    <x v="26"/>
    <x v="63"/>
    <x v="64"/>
    <n v="4"/>
  </r>
  <r>
    <x v="251"/>
    <s v="O1346"/>
    <x v="3"/>
    <x v="0"/>
    <x v="0"/>
    <x v="3"/>
    <x v="0"/>
    <x v="12"/>
    <x v="63"/>
    <x v="68"/>
    <n v="3"/>
  </r>
  <r>
    <x v="252"/>
    <s v="O1347"/>
    <x v="2"/>
    <x v="0"/>
    <x v="0"/>
    <x v="2"/>
    <x v="0"/>
    <x v="2"/>
    <x v="64"/>
    <x v="68"/>
    <n v="3"/>
  </r>
  <r>
    <x v="253"/>
    <s v="O1348"/>
    <x v="2"/>
    <x v="0"/>
    <x v="0"/>
    <x v="2"/>
    <x v="0"/>
    <x v="2"/>
    <x v="64"/>
    <x v="67"/>
    <n v="4"/>
  </r>
  <r>
    <x v="254"/>
    <s v="O1349"/>
    <x v="2"/>
    <x v="0"/>
    <x v="0"/>
    <x v="2"/>
    <x v="0"/>
    <x v="2"/>
    <x v="64"/>
    <x v="69"/>
    <n v="2"/>
  </r>
  <r>
    <x v="255"/>
    <s v="O1350"/>
    <x v="2"/>
    <x v="0"/>
    <x v="0"/>
    <x v="2"/>
    <x v="0"/>
    <x v="2"/>
    <x v="64"/>
    <x v="68"/>
    <n v="2"/>
  </r>
  <r>
    <x v="256"/>
    <s v="O1351"/>
    <x v="2"/>
    <x v="0"/>
    <x v="0"/>
    <x v="2"/>
    <x v="0"/>
    <x v="2"/>
    <x v="64"/>
    <x v="67"/>
    <n v="3"/>
  </r>
  <r>
    <x v="257"/>
    <s v="O1352"/>
    <x v="2"/>
    <x v="0"/>
    <x v="0"/>
    <x v="2"/>
    <x v="0"/>
    <x v="2"/>
    <x v="64"/>
    <x v="69"/>
    <n v="2"/>
  </r>
  <r>
    <x v="258"/>
    <s v="O1353"/>
    <x v="2"/>
    <x v="0"/>
    <x v="0"/>
    <x v="2"/>
    <x v="1"/>
    <x v="14"/>
    <x v="65"/>
    <x v="69"/>
    <n v="2"/>
  </r>
  <r>
    <x v="259"/>
    <s v="O1354"/>
    <x v="2"/>
    <x v="0"/>
    <x v="0"/>
    <x v="2"/>
    <x v="1"/>
    <x v="14"/>
    <x v="65"/>
    <x v="69"/>
    <n v="1"/>
  </r>
  <r>
    <x v="260"/>
    <s v="O1355"/>
    <x v="3"/>
    <x v="0"/>
    <x v="0"/>
    <x v="3"/>
    <x v="2"/>
    <x v="14"/>
    <x v="66"/>
    <x v="70"/>
    <n v="1"/>
  </r>
  <r>
    <x v="261"/>
    <s v="O1356"/>
    <x v="2"/>
    <x v="0"/>
    <x v="0"/>
    <x v="2"/>
    <x v="0"/>
    <x v="2"/>
    <x v="66"/>
    <x v="71"/>
    <n v="4"/>
  </r>
  <r>
    <x v="262"/>
    <s v="O1357"/>
    <x v="3"/>
    <x v="0"/>
    <x v="0"/>
    <x v="3"/>
    <x v="2"/>
    <x v="14"/>
    <x v="66"/>
    <x v="70"/>
    <n v="2"/>
  </r>
  <r>
    <x v="263"/>
    <s v="O1358"/>
    <x v="2"/>
    <x v="0"/>
    <x v="0"/>
    <x v="2"/>
    <x v="0"/>
    <x v="2"/>
    <x v="66"/>
    <x v="71"/>
    <n v="3"/>
  </r>
  <r>
    <x v="264"/>
    <s v="O1359"/>
    <x v="2"/>
    <x v="0"/>
    <x v="3"/>
    <x v="2"/>
    <x v="2"/>
    <x v="17"/>
    <x v="67"/>
    <x v="70"/>
    <n v="1"/>
  </r>
  <r>
    <x v="265"/>
    <s v="O1360"/>
    <x v="1"/>
    <x v="0"/>
    <x v="3"/>
    <x v="1"/>
    <x v="0"/>
    <x v="31"/>
    <x v="67"/>
    <x v="72"/>
    <n v="2"/>
  </r>
  <r>
    <x v="266"/>
    <s v="O1361"/>
    <x v="2"/>
    <x v="0"/>
    <x v="3"/>
    <x v="2"/>
    <x v="2"/>
    <x v="17"/>
    <x v="67"/>
    <x v="70"/>
    <n v="4"/>
  </r>
  <r>
    <x v="267"/>
    <s v="O1362"/>
    <x v="1"/>
    <x v="0"/>
    <x v="3"/>
    <x v="1"/>
    <x v="0"/>
    <x v="31"/>
    <x v="67"/>
    <x v="72"/>
    <n v="3"/>
  </r>
  <r>
    <x v="268"/>
    <s v="O1363"/>
    <x v="3"/>
    <x v="0"/>
    <x v="0"/>
    <x v="3"/>
    <x v="0"/>
    <x v="12"/>
    <x v="68"/>
    <x v="73"/>
    <n v="2"/>
  </r>
  <r>
    <x v="269"/>
    <s v="O1364"/>
    <x v="4"/>
    <x v="0"/>
    <x v="3"/>
    <x v="4"/>
    <x v="1"/>
    <x v="28"/>
    <x v="68"/>
    <x v="74"/>
    <n v="1"/>
  </r>
  <r>
    <x v="270"/>
    <s v="O1365"/>
    <x v="3"/>
    <x v="0"/>
    <x v="0"/>
    <x v="3"/>
    <x v="0"/>
    <x v="12"/>
    <x v="68"/>
    <x v="73"/>
    <n v="1"/>
  </r>
  <r>
    <x v="271"/>
    <s v="O1366"/>
    <x v="4"/>
    <x v="0"/>
    <x v="3"/>
    <x v="4"/>
    <x v="1"/>
    <x v="28"/>
    <x v="68"/>
    <x v="74"/>
    <n v="2"/>
  </r>
  <r>
    <x v="272"/>
    <s v="O1367"/>
    <x v="4"/>
    <x v="0"/>
    <x v="3"/>
    <x v="4"/>
    <x v="1"/>
    <x v="28"/>
    <x v="68"/>
    <x v="74"/>
    <n v="4"/>
  </r>
  <r>
    <x v="273"/>
    <s v="O1368"/>
    <x v="3"/>
    <x v="0"/>
    <x v="2"/>
    <x v="3"/>
    <x v="0"/>
    <x v="32"/>
    <x v="69"/>
    <x v="72"/>
    <n v="3"/>
  </r>
  <r>
    <x v="274"/>
    <s v="O1369"/>
    <x v="3"/>
    <x v="0"/>
    <x v="2"/>
    <x v="3"/>
    <x v="0"/>
    <x v="32"/>
    <x v="69"/>
    <x v="72"/>
    <n v="2"/>
  </r>
  <r>
    <x v="275"/>
    <s v="O1370"/>
    <x v="3"/>
    <x v="0"/>
    <x v="2"/>
    <x v="3"/>
    <x v="0"/>
    <x v="32"/>
    <x v="69"/>
    <x v="72"/>
    <n v="3"/>
  </r>
  <r>
    <x v="276"/>
    <s v="O1371"/>
    <x v="2"/>
    <x v="0"/>
    <x v="0"/>
    <x v="2"/>
    <x v="0"/>
    <x v="2"/>
    <x v="70"/>
    <x v="73"/>
    <n v="2"/>
  </r>
  <r>
    <x v="277"/>
    <s v="O1372"/>
    <x v="3"/>
    <x v="0"/>
    <x v="0"/>
    <x v="3"/>
    <x v="2"/>
    <x v="14"/>
    <x v="70"/>
    <x v="73"/>
    <n v="1"/>
  </r>
  <r>
    <x v="278"/>
    <s v="O1373"/>
    <x v="2"/>
    <x v="0"/>
    <x v="0"/>
    <x v="2"/>
    <x v="2"/>
    <x v="10"/>
    <x v="70"/>
    <x v="75"/>
    <n v="2"/>
  </r>
  <r>
    <x v="279"/>
    <s v="O1374"/>
    <x v="2"/>
    <x v="0"/>
    <x v="0"/>
    <x v="2"/>
    <x v="0"/>
    <x v="2"/>
    <x v="70"/>
    <x v="73"/>
    <n v="1"/>
  </r>
  <r>
    <x v="280"/>
    <s v="O1375"/>
    <x v="3"/>
    <x v="0"/>
    <x v="0"/>
    <x v="3"/>
    <x v="2"/>
    <x v="14"/>
    <x v="70"/>
    <x v="73"/>
    <n v="3"/>
  </r>
  <r>
    <x v="281"/>
    <s v="O1376"/>
    <x v="2"/>
    <x v="0"/>
    <x v="0"/>
    <x v="2"/>
    <x v="2"/>
    <x v="10"/>
    <x v="70"/>
    <x v="75"/>
    <n v="1"/>
  </r>
  <r>
    <x v="282"/>
    <s v="O1377"/>
    <x v="3"/>
    <x v="0"/>
    <x v="0"/>
    <x v="3"/>
    <x v="2"/>
    <x v="14"/>
    <x v="70"/>
    <x v="73"/>
    <n v="4"/>
  </r>
  <r>
    <x v="283"/>
    <s v="O1378"/>
    <x v="2"/>
    <x v="0"/>
    <x v="0"/>
    <x v="2"/>
    <x v="2"/>
    <x v="10"/>
    <x v="70"/>
    <x v="75"/>
    <n v="4"/>
  </r>
  <r>
    <x v="284"/>
    <s v="O1379"/>
    <x v="2"/>
    <x v="0"/>
    <x v="0"/>
    <x v="2"/>
    <x v="0"/>
    <x v="2"/>
    <x v="71"/>
    <x v="76"/>
    <n v="2"/>
  </r>
  <r>
    <x v="285"/>
    <s v="O1380"/>
    <x v="5"/>
    <x v="0"/>
    <x v="0"/>
    <x v="5"/>
    <x v="1"/>
    <x v="10"/>
    <x v="71"/>
    <x v="75"/>
    <n v="2"/>
  </r>
  <r>
    <x v="286"/>
    <s v="O1381"/>
    <x v="2"/>
    <x v="0"/>
    <x v="0"/>
    <x v="2"/>
    <x v="0"/>
    <x v="2"/>
    <x v="71"/>
    <x v="76"/>
    <n v="4"/>
  </r>
  <r>
    <x v="287"/>
    <s v="O1382"/>
    <x v="5"/>
    <x v="0"/>
    <x v="0"/>
    <x v="5"/>
    <x v="1"/>
    <x v="10"/>
    <x v="71"/>
    <x v="75"/>
    <n v="1"/>
  </r>
  <r>
    <x v="288"/>
    <s v="O1383"/>
    <x v="5"/>
    <x v="0"/>
    <x v="0"/>
    <x v="5"/>
    <x v="1"/>
    <x v="10"/>
    <x v="71"/>
    <x v="75"/>
    <n v="2"/>
  </r>
  <r>
    <x v="289"/>
    <s v="O1384"/>
    <x v="0"/>
    <x v="0"/>
    <x v="0"/>
    <x v="0"/>
    <x v="0"/>
    <x v="0"/>
    <x v="72"/>
    <x v="77"/>
    <n v="2"/>
  </r>
  <r>
    <x v="290"/>
    <s v="O1385"/>
    <x v="2"/>
    <x v="0"/>
    <x v="0"/>
    <x v="2"/>
    <x v="2"/>
    <x v="10"/>
    <x v="72"/>
    <x v="78"/>
    <n v="1"/>
  </r>
  <r>
    <x v="291"/>
    <s v="O1386"/>
    <x v="0"/>
    <x v="0"/>
    <x v="0"/>
    <x v="0"/>
    <x v="0"/>
    <x v="0"/>
    <x v="72"/>
    <x v="77"/>
    <n v="4"/>
  </r>
  <r>
    <x v="292"/>
    <s v="O1387"/>
    <x v="2"/>
    <x v="0"/>
    <x v="0"/>
    <x v="2"/>
    <x v="2"/>
    <x v="10"/>
    <x v="72"/>
    <x v="78"/>
    <n v="2"/>
  </r>
  <r>
    <x v="293"/>
    <s v="O1388"/>
    <x v="0"/>
    <x v="0"/>
    <x v="0"/>
    <x v="0"/>
    <x v="0"/>
    <x v="0"/>
    <x v="72"/>
    <x v="77"/>
    <n v="1"/>
  </r>
  <r>
    <x v="294"/>
    <s v="O1389"/>
    <x v="2"/>
    <x v="0"/>
    <x v="0"/>
    <x v="2"/>
    <x v="2"/>
    <x v="10"/>
    <x v="72"/>
    <x v="78"/>
    <n v="2"/>
  </r>
  <r>
    <x v="295"/>
    <s v="O1390"/>
    <x v="9"/>
    <x v="0"/>
    <x v="0"/>
    <x v="9"/>
    <x v="0"/>
    <x v="16"/>
    <x v="73"/>
    <x v="79"/>
    <n v="1"/>
  </r>
  <r>
    <x v="296"/>
    <s v="O1391"/>
    <x v="9"/>
    <x v="0"/>
    <x v="0"/>
    <x v="9"/>
    <x v="0"/>
    <x v="16"/>
    <x v="73"/>
    <x v="79"/>
    <n v="1"/>
  </r>
  <r>
    <x v="297"/>
    <s v="O1392"/>
    <x v="9"/>
    <x v="0"/>
    <x v="0"/>
    <x v="9"/>
    <x v="0"/>
    <x v="16"/>
    <x v="73"/>
    <x v="79"/>
    <n v="2"/>
  </r>
  <r>
    <x v="298"/>
    <s v="O1393"/>
    <x v="3"/>
    <x v="0"/>
    <x v="0"/>
    <x v="3"/>
    <x v="0"/>
    <x v="12"/>
    <x v="74"/>
    <x v="80"/>
    <n v="4"/>
  </r>
  <r>
    <x v="299"/>
    <s v="O1394"/>
    <x v="5"/>
    <x v="0"/>
    <x v="0"/>
    <x v="5"/>
    <x v="0"/>
    <x v="14"/>
    <x v="74"/>
    <x v="78"/>
    <n v="4"/>
  </r>
  <r>
    <x v="300"/>
    <s v="O1395"/>
    <x v="3"/>
    <x v="0"/>
    <x v="0"/>
    <x v="3"/>
    <x v="0"/>
    <x v="12"/>
    <x v="74"/>
    <x v="80"/>
    <n v="1"/>
  </r>
  <r>
    <x v="301"/>
    <s v="O1396"/>
    <x v="5"/>
    <x v="0"/>
    <x v="0"/>
    <x v="5"/>
    <x v="0"/>
    <x v="14"/>
    <x v="74"/>
    <x v="78"/>
    <n v="3"/>
  </r>
  <r>
    <x v="302"/>
    <s v="O1397"/>
    <x v="2"/>
    <x v="0"/>
    <x v="0"/>
    <x v="2"/>
    <x v="1"/>
    <x v="14"/>
    <x v="75"/>
    <x v="78"/>
    <n v="2"/>
  </r>
  <r>
    <x v="303"/>
    <s v="O1398"/>
    <x v="3"/>
    <x v="0"/>
    <x v="0"/>
    <x v="3"/>
    <x v="0"/>
    <x v="12"/>
    <x v="75"/>
    <x v="79"/>
    <n v="4"/>
  </r>
  <r>
    <x v="304"/>
    <s v="O1399"/>
    <x v="2"/>
    <x v="0"/>
    <x v="0"/>
    <x v="2"/>
    <x v="1"/>
    <x v="14"/>
    <x v="75"/>
    <x v="78"/>
    <n v="3"/>
  </r>
  <r>
    <x v="305"/>
    <s v="O1400"/>
    <x v="3"/>
    <x v="0"/>
    <x v="0"/>
    <x v="3"/>
    <x v="0"/>
    <x v="12"/>
    <x v="75"/>
    <x v="79"/>
    <n v="4"/>
  </r>
  <r>
    <x v="306"/>
    <s v="O1401"/>
    <x v="2"/>
    <x v="0"/>
    <x v="0"/>
    <x v="2"/>
    <x v="1"/>
    <x v="14"/>
    <x v="75"/>
    <x v="78"/>
    <n v="3"/>
  </r>
  <r>
    <x v="307"/>
    <s v="O1402"/>
    <x v="3"/>
    <x v="0"/>
    <x v="0"/>
    <x v="3"/>
    <x v="0"/>
    <x v="12"/>
    <x v="75"/>
    <x v="79"/>
    <n v="1"/>
  </r>
  <r>
    <x v="308"/>
    <s v="O1403"/>
    <x v="9"/>
    <x v="0"/>
    <x v="3"/>
    <x v="9"/>
    <x v="2"/>
    <x v="33"/>
    <x v="76"/>
    <x v="81"/>
    <n v="3"/>
  </r>
  <r>
    <x v="309"/>
    <s v="O1404"/>
    <x v="9"/>
    <x v="0"/>
    <x v="3"/>
    <x v="9"/>
    <x v="2"/>
    <x v="33"/>
    <x v="76"/>
    <x v="81"/>
    <n v="3"/>
  </r>
  <r>
    <x v="310"/>
    <s v="O1405"/>
    <x v="9"/>
    <x v="0"/>
    <x v="3"/>
    <x v="9"/>
    <x v="2"/>
    <x v="33"/>
    <x v="76"/>
    <x v="81"/>
    <n v="3"/>
  </r>
  <r>
    <x v="311"/>
    <s v="O1406"/>
    <x v="6"/>
    <x v="0"/>
    <x v="0"/>
    <x v="6"/>
    <x v="2"/>
    <x v="34"/>
    <x v="77"/>
    <x v="82"/>
    <n v="1"/>
  </r>
  <r>
    <x v="312"/>
    <s v="O1407"/>
    <x v="11"/>
    <x v="1"/>
    <x v="0"/>
    <x v="10"/>
    <x v="1"/>
    <x v="16"/>
    <x v="77"/>
    <x v="83"/>
    <n v="1"/>
  </r>
  <r>
    <x v="313"/>
    <s v="O1408"/>
    <x v="11"/>
    <x v="1"/>
    <x v="0"/>
    <x v="10"/>
    <x v="0"/>
    <x v="35"/>
    <x v="77"/>
    <x v="84"/>
    <n v="3"/>
  </r>
  <r>
    <x v="314"/>
    <s v="O1409"/>
    <x v="6"/>
    <x v="0"/>
    <x v="0"/>
    <x v="6"/>
    <x v="2"/>
    <x v="34"/>
    <x v="77"/>
    <x v="82"/>
    <n v="1"/>
  </r>
  <r>
    <x v="315"/>
    <s v="O1410"/>
    <x v="11"/>
    <x v="1"/>
    <x v="0"/>
    <x v="10"/>
    <x v="1"/>
    <x v="16"/>
    <x v="77"/>
    <x v="83"/>
    <n v="3"/>
  </r>
  <r>
    <x v="316"/>
    <s v="O1411"/>
    <x v="11"/>
    <x v="1"/>
    <x v="0"/>
    <x v="10"/>
    <x v="0"/>
    <x v="35"/>
    <x v="77"/>
    <x v="84"/>
    <n v="4"/>
  </r>
  <r>
    <x v="317"/>
    <s v="O1412"/>
    <x v="2"/>
    <x v="0"/>
    <x v="2"/>
    <x v="2"/>
    <x v="2"/>
    <x v="8"/>
    <x v="78"/>
    <x v="83"/>
    <n v="2"/>
  </r>
  <r>
    <x v="318"/>
    <s v="O1413"/>
    <x v="2"/>
    <x v="0"/>
    <x v="2"/>
    <x v="2"/>
    <x v="2"/>
    <x v="8"/>
    <x v="78"/>
    <x v="83"/>
    <n v="4"/>
  </r>
  <r>
    <x v="319"/>
    <s v="O1414"/>
    <x v="2"/>
    <x v="0"/>
    <x v="2"/>
    <x v="2"/>
    <x v="2"/>
    <x v="8"/>
    <x v="78"/>
    <x v="83"/>
    <n v="4"/>
  </r>
  <r>
    <x v="320"/>
    <s v="O1415"/>
    <x v="10"/>
    <x v="1"/>
    <x v="1"/>
    <x v="8"/>
    <x v="0"/>
    <x v="36"/>
    <x v="79"/>
    <x v="82"/>
    <n v="4"/>
  </r>
  <r>
    <x v="321"/>
    <s v="O1416"/>
    <x v="2"/>
    <x v="0"/>
    <x v="3"/>
    <x v="2"/>
    <x v="0"/>
    <x v="5"/>
    <x v="79"/>
    <x v="85"/>
    <n v="1"/>
  </r>
  <r>
    <x v="322"/>
    <s v="O1417"/>
    <x v="2"/>
    <x v="0"/>
    <x v="3"/>
    <x v="2"/>
    <x v="0"/>
    <x v="5"/>
    <x v="79"/>
    <x v="83"/>
    <n v="4"/>
  </r>
  <r>
    <x v="323"/>
    <s v="O1418"/>
    <x v="10"/>
    <x v="1"/>
    <x v="1"/>
    <x v="8"/>
    <x v="0"/>
    <x v="36"/>
    <x v="79"/>
    <x v="82"/>
    <n v="2"/>
  </r>
  <r>
    <x v="324"/>
    <s v="O1419"/>
    <x v="2"/>
    <x v="0"/>
    <x v="3"/>
    <x v="2"/>
    <x v="0"/>
    <x v="5"/>
    <x v="79"/>
    <x v="85"/>
    <n v="1"/>
  </r>
  <r>
    <x v="325"/>
    <s v="O1420"/>
    <x v="2"/>
    <x v="0"/>
    <x v="3"/>
    <x v="2"/>
    <x v="0"/>
    <x v="5"/>
    <x v="79"/>
    <x v="83"/>
    <n v="1"/>
  </r>
  <r>
    <x v="326"/>
    <s v="O1421"/>
    <x v="10"/>
    <x v="1"/>
    <x v="1"/>
    <x v="8"/>
    <x v="0"/>
    <x v="36"/>
    <x v="79"/>
    <x v="82"/>
    <n v="2"/>
  </r>
  <r>
    <x v="327"/>
    <s v="O1422"/>
    <x v="10"/>
    <x v="1"/>
    <x v="0"/>
    <x v="8"/>
    <x v="0"/>
    <x v="18"/>
    <x v="80"/>
    <x v="86"/>
    <n v="4"/>
  </r>
  <r>
    <x v="328"/>
    <s v="O1423"/>
    <x v="6"/>
    <x v="0"/>
    <x v="3"/>
    <x v="6"/>
    <x v="0"/>
    <x v="22"/>
    <x v="80"/>
    <x v="83"/>
    <n v="2"/>
  </r>
  <r>
    <x v="329"/>
    <s v="O1424"/>
    <x v="10"/>
    <x v="1"/>
    <x v="0"/>
    <x v="8"/>
    <x v="0"/>
    <x v="18"/>
    <x v="80"/>
    <x v="86"/>
    <n v="2"/>
  </r>
  <r>
    <x v="330"/>
    <s v="O1425"/>
    <x v="6"/>
    <x v="0"/>
    <x v="3"/>
    <x v="6"/>
    <x v="0"/>
    <x v="22"/>
    <x v="80"/>
    <x v="83"/>
    <n v="3"/>
  </r>
  <r>
    <x v="331"/>
    <s v="O1426"/>
    <x v="6"/>
    <x v="0"/>
    <x v="3"/>
    <x v="6"/>
    <x v="0"/>
    <x v="22"/>
    <x v="80"/>
    <x v="83"/>
    <n v="1"/>
  </r>
  <r>
    <x v="332"/>
    <s v="O1427"/>
    <x v="3"/>
    <x v="0"/>
    <x v="0"/>
    <x v="3"/>
    <x v="2"/>
    <x v="14"/>
    <x v="81"/>
    <x v="82"/>
    <n v="1"/>
  </r>
  <r>
    <x v="333"/>
    <s v="O1428"/>
    <x v="5"/>
    <x v="0"/>
    <x v="0"/>
    <x v="5"/>
    <x v="1"/>
    <x v="10"/>
    <x v="81"/>
    <x v="87"/>
    <n v="3"/>
  </r>
  <r>
    <x v="334"/>
    <s v="O1429"/>
    <x v="11"/>
    <x v="1"/>
    <x v="0"/>
    <x v="10"/>
    <x v="2"/>
    <x v="25"/>
    <x v="81"/>
    <x v="86"/>
    <n v="1"/>
  </r>
  <r>
    <x v="335"/>
    <s v="O1430"/>
    <x v="7"/>
    <x v="1"/>
    <x v="3"/>
    <x v="7"/>
    <x v="2"/>
    <x v="27"/>
    <x v="81"/>
    <x v="86"/>
    <n v="3"/>
  </r>
  <r>
    <x v="336"/>
    <s v="O1431"/>
    <x v="3"/>
    <x v="0"/>
    <x v="0"/>
    <x v="3"/>
    <x v="2"/>
    <x v="14"/>
    <x v="81"/>
    <x v="82"/>
    <n v="1"/>
  </r>
  <r>
    <x v="337"/>
    <s v="O1432"/>
    <x v="5"/>
    <x v="0"/>
    <x v="0"/>
    <x v="5"/>
    <x v="1"/>
    <x v="10"/>
    <x v="81"/>
    <x v="87"/>
    <n v="3"/>
  </r>
  <r>
    <x v="338"/>
    <s v="O1433"/>
    <x v="11"/>
    <x v="1"/>
    <x v="0"/>
    <x v="10"/>
    <x v="2"/>
    <x v="25"/>
    <x v="81"/>
    <x v="86"/>
    <n v="3"/>
  </r>
  <r>
    <x v="339"/>
    <s v="O1434"/>
    <x v="7"/>
    <x v="1"/>
    <x v="3"/>
    <x v="7"/>
    <x v="2"/>
    <x v="27"/>
    <x v="81"/>
    <x v="86"/>
    <n v="4"/>
  </r>
  <r>
    <x v="340"/>
    <s v="O1435"/>
    <x v="7"/>
    <x v="1"/>
    <x v="3"/>
    <x v="7"/>
    <x v="2"/>
    <x v="27"/>
    <x v="81"/>
    <x v="86"/>
    <n v="1"/>
  </r>
  <r>
    <x v="341"/>
    <s v="O1436"/>
    <x v="5"/>
    <x v="0"/>
    <x v="3"/>
    <x v="5"/>
    <x v="0"/>
    <x v="17"/>
    <x v="82"/>
    <x v="87"/>
    <n v="2"/>
  </r>
  <r>
    <x v="342"/>
    <s v="O1437"/>
    <x v="5"/>
    <x v="0"/>
    <x v="3"/>
    <x v="5"/>
    <x v="0"/>
    <x v="17"/>
    <x v="82"/>
    <x v="87"/>
    <n v="4"/>
  </r>
  <r>
    <x v="343"/>
    <s v="O1438"/>
    <x v="2"/>
    <x v="0"/>
    <x v="2"/>
    <x v="2"/>
    <x v="0"/>
    <x v="20"/>
    <x v="83"/>
    <x v="88"/>
    <n v="3"/>
  </r>
  <r>
    <x v="344"/>
    <s v="O1439"/>
    <x v="3"/>
    <x v="0"/>
    <x v="0"/>
    <x v="3"/>
    <x v="0"/>
    <x v="12"/>
    <x v="83"/>
    <x v="87"/>
    <n v="4"/>
  </r>
  <r>
    <x v="345"/>
    <s v="O1440"/>
    <x v="2"/>
    <x v="0"/>
    <x v="0"/>
    <x v="2"/>
    <x v="0"/>
    <x v="2"/>
    <x v="83"/>
    <x v="89"/>
    <n v="4"/>
  </r>
  <r>
    <x v="346"/>
    <s v="O1441"/>
    <x v="2"/>
    <x v="0"/>
    <x v="0"/>
    <x v="2"/>
    <x v="0"/>
    <x v="2"/>
    <x v="83"/>
    <x v="89"/>
    <n v="1"/>
  </r>
  <r>
    <x v="347"/>
    <s v="O1442"/>
    <x v="2"/>
    <x v="0"/>
    <x v="2"/>
    <x v="2"/>
    <x v="0"/>
    <x v="20"/>
    <x v="83"/>
    <x v="88"/>
    <n v="4"/>
  </r>
  <r>
    <x v="348"/>
    <s v="O1443"/>
    <x v="3"/>
    <x v="0"/>
    <x v="0"/>
    <x v="3"/>
    <x v="0"/>
    <x v="12"/>
    <x v="83"/>
    <x v="87"/>
    <n v="1"/>
  </r>
  <r>
    <x v="349"/>
    <s v="O1444"/>
    <x v="2"/>
    <x v="0"/>
    <x v="0"/>
    <x v="2"/>
    <x v="0"/>
    <x v="2"/>
    <x v="83"/>
    <x v="89"/>
    <n v="1"/>
  </r>
  <r>
    <x v="350"/>
    <s v="O1445"/>
    <x v="2"/>
    <x v="0"/>
    <x v="0"/>
    <x v="2"/>
    <x v="0"/>
    <x v="2"/>
    <x v="83"/>
    <x v="89"/>
    <n v="4"/>
  </r>
  <r>
    <x v="351"/>
    <s v="O1446"/>
    <x v="2"/>
    <x v="0"/>
    <x v="0"/>
    <x v="2"/>
    <x v="0"/>
    <x v="2"/>
    <x v="83"/>
    <x v="89"/>
    <n v="4"/>
  </r>
  <r>
    <x v="352"/>
    <s v="O1447"/>
    <x v="2"/>
    <x v="0"/>
    <x v="3"/>
    <x v="2"/>
    <x v="0"/>
    <x v="5"/>
    <x v="84"/>
    <x v="90"/>
    <n v="2"/>
  </r>
  <r>
    <x v="353"/>
    <s v="O1448"/>
    <x v="4"/>
    <x v="0"/>
    <x v="0"/>
    <x v="4"/>
    <x v="1"/>
    <x v="7"/>
    <x v="84"/>
    <x v="90"/>
    <n v="4"/>
  </r>
  <r>
    <x v="354"/>
    <s v="O1449"/>
    <x v="2"/>
    <x v="0"/>
    <x v="3"/>
    <x v="2"/>
    <x v="0"/>
    <x v="5"/>
    <x v="84"/>
    <x v="90"/>
    <n v="1"/>
  </r>
  <r>
    <x v="355"/>
    <s v="O1450"/>
    <x v="4"/>
    <x v="0"/>
    <x v="0"/>
    <x v="4"/>
    <x v="1"/>
    <x v="7"/>
    <x v="84"/>
    <x v="90"/>
    <n v="2"/>
  </r>
  <r>
    <x v="356"/>
    <s v="O1451"/>
    <x v="3"/>
    <x v="0"/>
    <x v="0"/>
    <x v="3"/>
    <x v="1"/>
    <x v="2"/>
    <x v="85"/>
    <x v="91"/>
    <n v="2"/>
  </r>
  <r>
    <x v="357"/>
    <s v="O1452"/>
    <x v="2"/>
    <x v="0"/>
    <x v="0"/>
    <x v="2"/>
    <x v="2"/>
    <x v="10"/>
    <x v="85"/>
    <x v="88"/>
    <n v="4"/>
  </r>
  <r>
    <x v="358"/>
    <s v="O1453"/>
    <x v="3"/>
    <x v="0"/>
    <x v="0"/>
    <x v="3"/>
    <x v="1"/>
    <x v="2"/>
    <x v="85"/>
    <x v="91"/>
    <n v="4"/>
  </r>
  <r>
    <x v="359"/>
    <s v="O1454"/>
    <x v="2"/>
    <x v="0"/>
    <x v="0"/>
    <x v="2"/>
    <x v="2"/>
    <x v="10"/>
    <x v="85"/>
    <x v="88"/>
    <n v="1"/>
  </r>
  <r>
    <x v="360"/>
    <s v="O1455"/>
    <x v="3"/>
    <x v="0"/>
    <x v="0"/>
    <x v="3"/>
    <x v="1"/>
    <x v="2"/>
    <x v="85"/>
    <x v="91"/>
    <n v="3"/>
  </r>
  <r>
    <x v="361"/>
    <s v="O1456"/>
    <x v="2"/>
    <x v="0"/>
    <x v="0"/>
    <x v="2"/>
    <x v="2"/>
    <x v="10"/>
    <x v="85"/>
    <x v="88"/>
    <n v="3"/>
  </r>
  <r>
    <x v="362"/>
    <s v="O1457"/>
    <x v="10"/>
    <x v="1"/>
    <x v="0"/>
    <x v="8"/>
    <x v="0"/>
    <x v="18"/>
    <x v="86"/>
    <x v="88"/>
    <n v="2"/>
  </r>
  <r>
    <x v="363"/>
    <s v="O1458"/>
    <x v="10"/>
    <x v="1"/>
    <x v="0"/>
    <x v="8"/>
    <x v="0"/>
    <x v="18"/>
    <x v="86"/>
    <x v="88"/>
    <n v="1"/>
  </r>
  <r>
    <x v="364"/>
    <s v="O1459"/>
    <x v="2"/>
    <x v="0"/>
    <x v="0"/>
    <x v="2"/>
    <x v="0"/>
    <x v="2"/>
    <x v="87"/>
    <x v="92"/>
    <n v="3"/>
  </r>
  <r>
    <x v="365"/>
    <s v="O1460"/>
    <x v="4"/>
    <x v="0"/>
    <x v="0"/>
    <x v="4"/>
    <x v="1"/>
    <x v="7"/>
    <x v="87"/>
    <x v="92"/>
    <n v="2"/>
  </r>
  <r>
    <x v="366"/>
    <s v="O1461"/>
    <x v="2"/>
    <x v="0"/>
    <x v="0"/>
    <x v="2"/>
    <x v="0"/>
    <x v="2"/>
    <x v="87"/>
    <x v="92"/>
    <n v="3"/>
  </r>
  <r>
    <x v="367"/>
    <s v="O1462"/>
    <x v="4"/>
    <x v="0"/>
    <x v="0"/>
    <x v="4"/>
    <x v="1"/>
    <x v="7"/>
    <x v="87"/>
    <x v="92"/>
    <n v="1"/>
  </r>
  <r>
    <x v="368"/>
    <s v="O1463"/>
    <x v="4"/>
    <x v="0"/>
    <x v="0"/>
    <x v="4"/>
    <x v="1"/>
    <x v="7"/>
    <x v="87"/>
    <x v="92"/>
    <n v="2"/>
  </r>
  <r>
    <x v="369"/>
    <s v="O1464"/>
    <x v="3"/>
    <x v="0"/>
    <x v="3"/>
    <x v="3"/>
    <x v="0"/>
    <x v="13"/>
    <x v="88"/>
    <x v="93"/>
    <n v="1"/>
  </r>
  <r>
    <x v="370"/>
    <s v="O1465"/>
    <x v="3"/>
    <x v="0"/>
    <x v="3"/>
    <x v="3"/>
    <x v="0"/>
    <x v="13"/>
    <x v="88"/>
    <x v="93"/>
    <n v="2"/>
  </r>
  <r>
    <x v="371"/>
    <s v="O1466"/>
    <x v="11"/>
    <x v="1"/>
    <x v="2"/>
    <x v="10"/>
    <x v="0"/>
    <x v="37"/>
    <x v="89"/>
    <x v="94"/>
    <n v="4"/>
  </r>
  <r>
    <x v="372"/>
    <s v="O1467"/>
    <x v="5"/>
    <x v="0"/>
    <x v="2"/>
    <x v="5"/>
    <x v="0"/>
    <x v="28"/>
    <x v="89"/>
    <x v="91"/>
    <n v="3"/>
  </r>
  <r>
    <x v="373"/>
    <s v="O1468"/>
    <x v="2"/>
    <x v="0"/>
    <x v="0"/>
    <x v="2"/>
    <x v="1"/>
    <x v="14"/>
    <x v="89"/>
    <x v="93"/>
    <n v="1"/>
  </r>
  <r>
    <x v="374"/>
    <s v="O1469"/>
    <x v="11"/>
    <x v="1"/>
    <x v="2"/>
    <x v="10"/>
    <x v="0"/>
    <x v="37"/>
    <x v="89"/>
    <x v="94"/>
    <n v="3"/>
  </r>
  <r>
    <x v="375"/>
    <s v="O1470"/>
    <x v="5"/>
    <x v="0"/>
    <x v="2"/>
    <x v="5"/>
    <x v="0"/>
    <x v="28"/>
    <x v="89"/>
    <x v="91"/>
    <n v="3"/>
  </r>
  <r>
    <x v="376"/>
    <s v="O1471"/>
    <x v="2"/>
    <x v="0"/>
    <x v="0"/>
    <x v="2"/>
    <x v="1"/>
    <x v="14"/>
    <x v="89"/>
    <x v="93"/>
    <n v="2"/>
  </r>
  <r>
    <x v="377"/>
    <s v="O1472"/>
    <x v="5"/>
    <x v="0"/>
    <x v="2"/>
    <x v="5"/>
    <x v="0"/>
    <x v="28"/>
    <x v="89"/>
    <x v="91"/>
    <n v="2"/>
  </r>
  <r>
    <x v="378"/>
    <s v="O1473"/>
    <x v="4"/>
    <x v="0"/>
    <x v="0"/>
    <x v="4"/>
    <x v="2"/>
    <x v="31"/>
    <x v="90"/>
    <x v="95"/>
    <n v="2"/>
  </r>
  <r>
    <x v="379"/>
    <s v="O1474"/>
    <x v="4"/>
    <x v="0"/>
    <x v="0"/>
    <x v="4"/>
    <x v="2"/>
    <x v="31"/>
    <x v="90"/>
    <x v="95"/>
    <n v="2"/>
  </r>
  <r>
    <x v="380"/>
    <s v="O1475"/>
    <x v="6"/>
    <x v="0"/>
    <x v="0"/>
    <x v="6"/>
    <x v="2"/>
    <x v="34"/>
    <x v="91"/>
    <x v="96"/>
    <n v="1"/>
  </r>
  <r>
    <x v="381"/>
    <s v="O1476"/>
    <x v="6"/>
    <x v="0"/>
    <x v="0"/>
    <x v="6"/>
    <x v="2"/>
    <x v="34"/>
    <x v="91"/>
    <x v="96"/>
    <n v="2"/>
  </r>
  <r>
    <x v="382"/>
    <s v="O1477"/>
    <x v="2"/>
    <x v="0"/>
    <x v="1"/>
    <x v="2"/>
    <x v="1"/>
    <x v="38"/>
    <x v="92"/>
    <x v="97"/>
    <n v="3"/>
  </r>
  <r>
    <x v="383"/>
    <s v="O1478"/>
    <x v="2"/>
    <x v="0"/>
    <x v="1"/>
    <x v="2"/>
    <x v="1"/>
    <x v="38"/>
    <x v="92"/>
    <x v="97"/>
    <n v="1"/>
  </r>
  <r>
    <x v="384"/>
    <s v="O1479"/>
    <x v="2"/>
    <x v="0"/>
    <x v="3"/>
    <x v="2"/>
    <x v="2"/>
    <x v="17"/>
    <x v="93"/>
    <x v="98"/>
    <n v="4"/>
  </r>
  <r>
    <x v="385"/>
    <s v="O1480"/>
    <x v="2"/>
    <x v="0"/>
    <x v="3"/>
    <x v="2"/>
    <x v="2"/>
    <x v="17"/>
    <x v="93"/>
    <x v="98"/>
    <n v="3"/>
  </r>
  <r>
    <x v="386"/>
    <s v="O1481"/>
    <x v="0"/>
    <x v="0"/>
    <x v="0"/>
    <x v="0"/>
    <x v="0"/>
    <x v="0"/>
    <x v="94"/>
    <x v="99"/>
    <n v="4"/>
  </r>
  <r>
    <x v="387"/>
    <s v="O1482"/>
    <x v="0"/>
    <x v="0"/>
    <x v="0"/>
    <x v="0"/>
    <x v="0"/>
    <x v="0"/>
    <x v="94"/>
    <x v="99"/>
    <n v="2"/>
  </r>
  <r>
    <x v="388"/>
    <s v="O1483"/>
    <x v="2"/>
    <x v="0"/>
    <x v="0"/>
    <x v="2"/>
    <x v="0"/>
    <x v="2"/>
    <x v="95"/>
    <x v="100"/>
    <n v="2"/>
  </r>
  <r>
    <x v="389"/>
    <s v="O1484"/>
    <x v="2"/>
    <x v="0"/>
    <x v="0"/>
    <x v="2"/>
    <x v="0"/>
    <x v="2"/>
    <x v="95"/>
    <x v="100"/>
    <n v="1"/>
  </r>
  <r>
    <x v="390"/>
    <s v="O1485"/>
    <x v="2"/>
    <x v="0"/>
    <x v="0"/>
    <x v="2"/>
    <x v="0"/>
    <x v="2"/>
    <x v="95"/>
    <x v="100"/>
    <n v="2"/>
  </r>
  <r>
    <x v="391"/>
    <s v="O1486"/>
    <x v="2"/>
    <x v="0"/>
    <x v="0"/>
    <x v="2"/>
    <x v="2"/>
    <x v="10"/>
    <x v="96"/>
    <x v="101"/>
    <n v="4"/>
  </r>
  <r>
    <x v="392"/>
    <s v="O1487"/>
    <x v="2"/>
    <x v="0"/>
    <x v="0"/>
    <x v="2"/>
    <x v="0"/>
    <x v="2"/>
    <x v="96"/>
    <x v="100"/>
    <n v="3"/>
  </r>
  <r>
    <x v="393"/>
    <s v="O1488"/>
    <x v="2"/>
    <x v="0"/>
    <x v="0"/>
    <x v="2"/>
    <x v="2"/>
    <x v="10"/>
    <x v="96"/>
    <x v="101"/>
    <n v="2"/>
  </r>
  <r>
    <x v="394"/>
    <s v="O1489"/>
    <x v="2"/>
    <x v="0"/>
    <x v="0"/>
    <x v="2"/>
    <x v="0"/>
    <x v="2"/>
    <x v="96"/>
    <x v="100"/>
    <n v="3"/>
  </r>
  <r>
    <x v="395"/>
    <s v="O1490"/>
    <x v="2"/>
    <x v="0"/>
    <x v="0"/>
    <x v="2"/>
    <x v="0"/>
    <x v="2"/>
    <x v="96"/>
    <x v="100"/>
    <n v="1"/>
  </r>
  <r>
    <x v="396"/>
    <s v="O1491"/>
    <x v="2"/>
    <x v="0"/>
    <x v="0"/>
    <x v="2"/>
    <x v="1"/>
    <x v="14"/>
    <x v="97"/>
    <x v="99"/>
    <n v="3"/>
  </r>
  <r>
    <x v="397"/>
    <s v="O1492"/>
    <x v="2"/>
    <x v="0"/>
    <x v="0"/>
    <x v="2"/>
    <x v="1"/>
    <x v="14"/>
    <x v="97"/>
    <x v="99"/>
    <n v="2"/>
  </r>
  <r>
    <x v="398"/>
    <s v="O1493"/>
    <x v="0"/>
    <x v="0"/>
    <x v="0"/>
    <x v="0"/>
    <x v="2"/>
    <x v="39"/>
    <x v="98"/>
    <x v="101"/>
    <n v="1"/>
  </r>
  <r>
    <x v="399"/>
    <s v="O1494"/>
    <x v="0"/>
    <x v="0"/>
    <x v="0"/>
    <x v="0"/>
    <x v="2"/>
    <x v="39"/>
    <x v="98"/>
    <x v="101"/>
    <n v="1"/>
  </r>
  <r>
    <x v="400"/>
    <s v="O1495"/>
    <x v="2"/>
    <x v="0"/>
    <x v="2"/>
    <x v="2"/>
    <x v="0"/>
    <x v="20"/>
    <x v="99"/>
    <x v="102"/>
    <n v="4"/>
  </r>
  <r>
    <x v="401"/>
    <s v="O1496"/>
    <x v="2"/>
    <x v="0"/>
    <x v="2"/>
    <x v="2"/>
    <x v="0"/>
    <x v="20"/>
    <x v="99"/>
    <x v="102"/>
    <n v="3"/>
  </r>
  <r>
    <x v="402"/>
    <s v="O1497"/>
    <x v="2"/>
    <x v="0"/>
    <x v="0"/>
    <x v="2"/>
    <x v="0"/>
    <x v="2"/>
    <x v="100"/>
    <x v="103"/>
    <n v="4"/>
  </r>
  <r>
    <x v="403"/>
    <s v="O1498"/>
    <x v="2"/>
    <x v="0"/>
    <x v="0"/>
    <x v="2"/>
    <x v="0"/>
    <x v="2"/>
    <x v="100"/>
    <x v="103"/>
    <n v="3"/>
  </r>
  <r>
    <x v="404"/>
    <s v="O1499"/>
    <x v="2"/>
    <x v="0"/>
    <x v="0"/>
    <x v="2"/>
    <x v="0"/>
    <x v="2"/>
    <x v="101"/>
    <x v="104"/>
    <n v="2"/>
  </r>
  <r>
    <x v="405"/>
    <s v="O1500"/>
    <x v="4"/>
    <x v="0"/>
    <x v="0"/>
    <x v="4"/>
    <x v="1"/>
    <x v="7"/>
    <x v="101"/>
    <x v="102"/>
    <n v="4"/>
  </r>
  <r>
    <x v="406"/>
    <s v="O1501"/>
    <x v="2"/>
    <x v="0"/>
    <x v="0"/>
    <x v="2"/>
    <x v="0"/>
    <x v="2"/>
    <x v="101"/>
    <x v="104"/>
    <n v="1"/>
  </r>
  <r>
    <x v="407"/>
    <s v="O1502"/>
    <x v="4"/>
    <x v="0"/>
    <x v="0"/>
    <x v="4"/>
    <x v="1"/>
    <x v="7"/>
    <x v="101"/>
    <x v="102"/>
    <n v="2"/>
  </r>
  <r>
    <x v="408"/>
    <s v="O1503"/>
    <x v="2"/>
    <x v="0"/>
    <x v="0"/>
    <x v="2"/>
    <x v="0"/>
    <x v="2"/>
    <x v="101"/>
    <x v="104"/>
    <n v="2"/>
  </r>
  <r>
    <x v="409"/>
    <s v="O1504"/>
    <x v="9"/>
    <x v="0"/>
    <x v="0"/>
    <x v="9"/>
    <x v="0"/>
    <x v="16"/>
    <x v="102"/>
    <x v="105"/>
    <n v="3"/>
  </r>
  <r>
    <x v="410"/>
    <s v="O1505"/>
    <x v="3"/>
    <x v="0"/>
    <x v="3"/>
    <x v="3"/>
    <x v="0"/>
    <x v="13"/>
    <x v="102"/>
    <x v="106"/>
    <n v="3"/>
  </r>
  <r>
    <x v="411"/>
    <s v="O1506"/>
    <x v="2"/>
    <x v="0"/>
    <x v="0"/>
    <x v="2"/>
    <x v="0"/>
    <x v="2"/>
    <x v="102"/>
    <x v="107"/>
    <n v="1"/>
  </r>
  <r>
    <x v="412"/>
    <s v="O1507"/>
    <x v="10"/>
    <x v="1"/>
    <x v="0"/>
    <x v="8"/>
    <x v="0"/>
    <x v="18"/>
    <x v="102"/>
    <x v="107"/>
    <n v="4"/>
  </r>
  <r>
    <x v="413"/>
    <s v="O1508"/>
    <x v="3"/>
    <x v="0"/>
    <x v="3"/>
    <x v="3"/>
    <x v="0"/>
    <x v="13"/>
    <x v="102"/>
    <x v="105"/>
    <n v="1"/>
  </r>
  <r>
    <x v="414"/>
    <s v="O1509"/>
    <x v="9"/>
    <x v="0"/>
    <x v="0"/>
    <x v="9"/>
    <x v="0"/>
    <x v="16"/>
    <x v="102"/>
    <x v="105"/>
    <n v="2"/>
  </r>
  <r>
    <x v="415"/>
    <s v="O1510"/>
    <x v="3"/>
    <x v="0"/>
    <x v="3"/>
    <x v="3"/>
    <x v="0"/>
    <x v="13"/>
    <x v="102"/>
    <x v="106"/>
    <n v="3"/>
  </r>
  <r>
    <x v="416"/>
    <s v="O1511"/>
    <x v="2"/>
    <x v="0"/>
    <x v="0"/>
    <x v="2"/>
    <x v="0"/>
    <x v="2"/>
    <x v="102"/>
    <x v="107"/>
    <n v="3"/>
  </r>
  <r>
    <x v="417"/>
    <s v="O1512"/>
    <x v="10"/>
    <x v="1"/>
    <x v="0"/>
    <x v="8"/>
    <x v="0"/>
    <x v="18"/>
    <x v="102"/>
    <x v="107"/>
    <n v="4"/>
  </r>
  <r>
    <x v="418"/>
    <s v="O1513"/>
    <x v="3"/>
    <x v="0"/>
    <x v="3"/>
    <x v="3"/>
    <x v="0"/>
    <x v="13"/>
    <x v="102"/>
    <x v="105"/>
    <n v="2"/>
  </r>
  <r>
    <x v="419"/>
    <s v="O1514"/>
    <x v="3"/>
    <x v="0"/>
    <x v="3"/>
    <x v="3"/>
    <x v="0"/>
    <x v="13"/>
    <x v="102"/>
    <x v="106"/>
    <n v="2"/>
  </r>
  <r>
    <x v="420"/>
    <s v="O1515"/>
    <x v="2"/>
    <x v="0"/>
    <x v="0"/>
    <x v="2"/>
    <x v="0"/>
    <x v="2"/>
    <x v="102"/>
    <x v="107"/>
    <n v="1"/>
  </r>
  <r>
    <x v="421"/>
    <s v="O1516"/>
    <x v="10"/>
    <x v="1"/>
    <x v="0"/>
    <x v="8"/>
    <x v="0"/>
    <x v="18"/>
    <x v="102"/>
    <x v="107"/>
    <n v="1"/>
  </r>
  <r>
    <x v="422"/>
    <s v="O1517"/>
    <x v="3"/>
    <x v="0"/>
    <x v="3"/>
    <x v="3"/>
    <x v="0"/>
    <x v="13"/>
    <x v="102"/>
    <x v="105"/>
    <n v="1"/>
  </r>
  <r>
    <x v="423"/>
    <s v="O1518"/>
    <x v="2"/>
    <x v="0"/>
    <x v="3"/>
    <x v="2"/>
    <x v="1"/>
    <x v="15"/>
    <x v="103"/>
    <x v="104"/>
    <n v="2"/>
  </r>
  <r>
    <x v="424"/>
    <s v="O1519"/>
    <x v="6"/>
    <x v="0"/>
    <x v="3"/>
    <x v="6"/>
    <x v="0"/>
    <x v="22"/>
    <x v="103"/>
    <x v="106"/>
    <n v="3"/>
  </r>
  <r>
    <x v="425"/>
    <s v="O1520"/>
    <x v="3"/>
    <x v="0"/>
    <x v="0"/>
    <x v="3"/>
    <x v="0"/>
    <x v="12"/>
    <x v="103"/>
    <x v="104"/>
    <n v="1"/>
  </r>
  <r>
    <x v="426"/>
    <s v="O1521"/>
    <x v="2"/>
    <x v="0"/>
    <x v="3"/>
    <x v="2"/>
    <x v="1"/>
    <x v="15"/>
    <x v="103"/>
    <x v="104"/>
    <n v="2"/>
  </r>
  <r>
    <x v="427"/>
    <s v="O1522"/>
    <x v="6"/>
    <x v="0"/>
    <x v="3"/>
    <x v="6"/>
    <x v="0"/>
    <x v="22"/>
    <x v="103"/>
    <x v="106"/>
    <n v="3"/>
  </r>
  <r>
    <x v="428"/>
    <s v="O1523"/>
    <x v="3"/>
    <x v="0"/>
    <x v="0"/>
    <x v="3"/>
    <x v="0"/>
    <x v="12"/>
    <x v="103"/>
    <x v="104"/>
    <n v="4"/>
  </r>
  <r>
    <x v="429"/>
    <s v="O1524"/>
    <x v="6"/>
    <x v="0"/>
    <x v="3"/>
    <x v="6"/>
    <x v="0"/>
    <x v="22"/>
    <x v="103"/>
    <x v="106"/>
    <n v="3"/>
  </r>
  <r>
    <x v="430"/>
    <s v="O1525"/>
    <x v="3"/>
    <x v="0"/>
    <x v="0"/>
    <x v="3"/>
    <x v="0"/>
    <x v="12"/>
    <x v="103"/>
    <x v="104"/>
    <n v="2"/>
  </r>
  <r>
    <x v="431"/>
    <s v="O1526"/>
    <x v="4"/>
    <x v="0"/>
    <x v="0"/>
    <x v="4"/>
    <x v="0"/>
    <x v="9"/>
    <x v="104"/>
    <x v="108"/>
    <n v="3"/>
  </r>
  <r>
    <x v="432"/>
    <s v="O1527"/>
    <x v="4"/>
    <x v="0"/>
    <x v="0"/>
    <x v="4"/>
    <x v="0"/>
    <x v="9"/>
    <x v="104"/>
    <x v="108"/>
    <n v="4"/>
  </r>
  <r>
    <x v="433"/>
    <s v="O1528"/>
    <x v="4"/>
    <x v="0"/>
    <x v="0"/>
    <x v="4"/>
    <x v="0"/>
    <x v="9"/>
    <x v="104"/>
    <x v="108"/>
    <n v="2"/>
  </r>
  <r>
    <x v="434"/>
    <s v="O1529"/>
    <x v="6"/>
    <x v="0"/>
    <x v="0"/>
    <x v="6"/>
    <x v="0"/>
    <x v="26"/>
    <x v="105"/>
    <x v="109"/>
    <n v="4"/>
  </r>
  <r>
    <x v="435"/>
    <s v="O1530"/>
    <x v="7"/>
    <x v="1"/>
    <x v="0"/>
    <x v="7"/>
    <x v="0"/>
    <x v="40"/>
    <x v="105"/>
    <x v="110"/>
    <n v="2"/>
  </r>
  <r>
    <x v="436"/>
    <s v="O1531"/>
    <x v="2"/>
    <x v="0"/>
    <x v="3"/>
    <x v="2"/>
    <x v="1"/>
    <x v="15"/>
    <x v="105"/>
    <x v="111"/>
    <n v="4"/>
  </r>
  <r>
    <x v="437"/>
    <s v="O1532"/>
    <x v="6"/>
    <x v="0"/>
    <x v="0"/>
    <x v="6"/>
    <x v="0"/>
    <x v="26"/>
    <x v="105"/>
    <x v="109"/>
    <n v="4"/>
  </r>
  <r>
    <x v="438"/>
    <s v="O1533"/>
    <x v="7"/>
    <x v="1"/>
    <x v="0"/>
    <x v="7"/>
    <x v="0"/>
    <x v="40"/>
    <x v="105"/>
    <x v="110"/>
    <n v="4"/>
  </r>
  <r>
    <x v="439"/>
    <s v="O1534"/>
    <x v="2"/>
    <x v="0"/>
    <x v="3"/>
    <x v="2"/>
    <x v="1"/>
    <x v="15"/>
    <x v="105"/>
    <x v="111"/>
    <n v="4"/>
  </r>
  <r>
    <x v="440"/>
    <s v="O1535"/>
    <x v="2"/>
    <x v="0"/>
    <x v="3"/>
    <x v="2"/>
    <x v="1"/>
    <x v="15"/>
    <x v="105"/>
    <x v="111"/>
    <n v="1"/>
  </r>
  <r>
    <x v="441"/>
    <s v="O1536"/>
    <x v="4"/>
    <x v="0"/>
    <x v="3"/>
    <x v="4"/>
    <x v="0"/>
    <x v="8"/>
    <x v="106"/>
    <x v="112"/>
    <n v="4"/>
  </r>
  <r>
    <x v="442"/>
    <s v="O1537"/>
    <x v="4"/>
    <x v="0"/>
    <x v="3"/>
    <x v="4"/>
    <x v="0"/>
    <x v="8"/>
    <x v="106"/>
    <x v="112"/>
    <n v="1"/>
  </r>
  <r>
    <x v="443"/>
    <s v="O1538"/>
    <x v="2"/>
    <x v="0"/>
    <x v="3"/>
    <x v="2"/>
    <x v="0"/>
    <x v="5"/>
    <x v="107"/>
    <x v="110"/>
    <n v="4"/>
  </r>
  <r>
    <x v="444"/>
    <s v="O1539"/>
    <x v="2"/>
    <x v="0"/>
    <x v="0"/>
    <x v="2"/>
    <x v="1"/>
    <x v="14"/>
    <x v="107"/>
    <x v="112"/>
    <n v="1"/>
  </r>
  <r>
    <x v="445"/>
    <s v="O1540"/>
    <x v="2"/>
    <x v="0"/>
    <x v="3"/>
    <x v="2"/>
    <x v="0"/>
    <x v="5"/>
    <x v="107"/>
    <x v="110"/>
    <n v="1"/>
  </r>
  <r>
    <x v="446"/>
    <s v="O1541"/>
    <x v="2"/>
    <x v="0"/>
    <x v="0"/>
    <x v="2"/>
    <x v="1"/>
    <x v="14"/>
    <x v="107"/>
    <x v="112"/>
    <n v="1"/>
  </r>
  <r>
    <x v="447"/>
    <s v="O1542"/>
    <x v="2"/>
    <x v="0"/>
    <x v="0"/>
    <x v="2"/>
    <x v="2"/>
    <x v="10"/>
    <x v="108"/>
    <x v="113"/>
    <n v="2"/>
  </r>
  <r>
    <x v="448"/>
    <s v="O1543"/>
    <x v="2"/>
    <x v="0"/>
    <x v="3"/>
    <x v="2"/>
    <x v="1"/>
    <x v="15"/>
    <x v="108"/>
    <x v="109"/>
    <n v="1"/>
  </r>
  <r>
    <x v="449"/>
    <s v="O1544"/>
    <x v="2"/>
    <x v="0"/>
    <x v="0"/>
    <x v="2"/>
    <x v="1"/>
    <x v="14"/>
    <x v="108"/>
    <x v="114"/>
    <n v="3"/>
  </r>
  <r>
    <x v="450"/>
    <s v="O1545"/>
    <x v="2"/>
    <x v="0"/>
    <x v="0"/>
    <x v="2"/>
    <x v="0"/>
    <x v="2"/>
    <x v="108"/>
    <x v="113"/>
    <n v="4"/>
  </r>
  <r>
    <x v="451"/>
    <s v="O1546"/>
    <x v="2"/>
    <x v="0"/>
    <x v="0"/>
    <x v="2"/>
    <x v="2"/>
    <x v="10"/>
    <x v="108"/>
    <x v="113"/>
    <n v="1"/>
  </r>
  <r>
    <x v="452"/>
    <s v="O1547"/>
    <x v="2"/>
    <x v="0"/>
    <x v="3"/>
    <x v="2"/>
    <x v="1"/>
    <x v="15"/>
    <x v="108"/>
    <x v="109"/>
    <n v="3"/>
  </r>
  <r>
    <x v="453"/>
    <s v="O1548"/>
    <x v="2"/>
    <x v="0"/>
    <x v="0"/>
    <x v="2"/>
    <x v="1"/>
    <x v="14"/>
    <x v="108"/>
    <x v="114"/>
    <n v="1"/>
  </r>
  <r>
    <x v="454"/>
    <s v="O1549"/>
    <x v="2"/>
    <x v="0"/>
    <x v="0"/>
    <x v="2"/>
    <x v="0"/>
    <x v="2"/>
    <x v="108"/>
    <x v="113"/>
    <n v="2"/>
  </r>
  <r>
    <x v="455"/>
    <s v="O1550"/>
    <x v="2"/>
    <x v="0"/>
    <x v="0"/>
    <x v="2"/>
    <x v="1"/>
    <x v="14"/>
    <x v="108"/>
    <x v="114"/>
    <n v="3"/>
  </r>
  <r>
    <x v="456"/>
    <s v="O1551"/>
    <x v="6"/>
    <x v="0"/>
    <x v="0"/>
    <x v="6"/>
    <x v="0"/>
    <x v="26"/>
    <x v="109"/>
    <x v="114"/>
    <n v="2"/>
  </r>
  <r>
    <x v="457"/>
    <s v="O1552"/>
    <x v="3"/>
    <x v="0"/>
    <x v="0"/>
    <x v="3"/>
    <x v="0"/>
    <x v="12"/>
    <x v="109"/>
    <x v="115"/>
    <n v="2"/>
  </r>
  <r>
    <x v="458"/>
    <s v="O1553"/>
    <x v="6"/>
    <x v="0"/>
    <x v="0"/>
    <x v="6"/>
    <x v="0"/>
    <x v="26"/>
    <x v="109"/>
    <x v="114"/>
    <n v="4"/>
  </r>
  <r>
    <x v="459"/>
    <s v="O1554"/>
    <x v="3"/>
    <x v="0"/>
    <x v="0"/>
    <x v="3"/>
    <x v="0"/>
    <x v="12"/>
    <x v="109"/>
    <x v="115"/>
    <n v="2"/>
  </r>
  <r>
    <x v="460"/>
    <s v="O1555"/>
    <x v="2"/>
    <x v="0"/>
    <x v="0"/>
    <x v="2"/>
    <x v="0"/>
    <x v="2"/>
    <x v="110"/>
    <x v="116"/>
    <n v="4"/>
  </r>
  <r>
    <x v="461"/>
    <s v="O1556"/>
    <x v="2"/>
    <x v="0"/>
    <x v="0"/>
    <x v="2"/>
    <x v="0"/>
    <x v="2"/>
    <x v="110"/>
    <x v="116"/>
    <n v="4"/>
  </r>
  <r>
    <x v="462"/>
    <s v="O1557"/>
    <x v="7"/>
    <x v="1"/>
    <x v="0"/>
    <x v="7"/>
    <x v="0"/>
    <x v="40"/>
    <x v="111"/>
    <x v="114"/>
    <n v="2"/>
  </r>
  <r>
    <x v="463"/>
    <s v="O1558"/>
    <x v="7"/>
    <x v="1"/>
    <x v="0"/>
    <x v="7"/>
    <x v="0"/>
    <x v="40"/>
    <x v="111"/>
    <x v="114"/>
    <n v="3"/>
  </r>
  <r>
    <x v="464"/>
    <s v="O1559"/>
    <x v="3"/>
    <x v="0"/>
    <x v="2"/>
    <x v="3"/>
    <x v="0"/>
    <x v="32"/>
    <x v="112"/>
    <x v="117"/>
    <n v="2"/>
  </r>
  <r>
    <x v="465"/>
    <s v="O1560"/>
    <x v="3"/>
    <x v="0"/>
    <x v="2"/>
    <x v="3"/>
    <x v="0"/>
    <x v="32"/>
    <x v="112"/>
    <x v="117"/>
    <n v="3"/>
  </r>
  <r>
    <x v="466"/>
    <s v="O1561"/>
    <x v="3"/>
    <x v="0"/>
    <x v="0"/>
    <x v="3"/>
    <x v="2"/>
    <x v="14"/>
    <x v="113"/>
    <x v="117"/>
    <n v="1"/>
  </r>
  <r>
    <x v="467"/>
    <s v="O1562"/>
    <x v="4"/>
    <x v="0"/>
    <x v="0"/>
    <x v="4"/>
    <x v="1"/>
    <x v="7"/>
    <x v="113"/>
    <x v="118"/>
    <n v="3"/>
  </r>
  <r>
    <x v="468"/>
    <s v="O1563"/>
    <x v="3"/>
    <x v="0"/>
    <x v="0"/>
    <x v="3"/>
    <x v="2"/>
    <x v="14"/>
    <x v="113"/>
    <x v="117"/>
    <n v="4"/>
  </r>
  <r>
    <x v="469"/>
    <s v="O1564"/>
    <x v="4"/>
    <x v="0"/>
    <x v="0"/>
    <x v="4"/>
    <x v="1"/>
    <x v="7"/>
    <x v="113"/>
    <x v="118"/>
    <n v="4"/>
  </r>
  <r>
    <x v="470"/>
    <s v="O1565"/>
    <x v="4"/>
    <x v="0"/>
    <x v="0"/>
    <x v="4"/>
    <x v="1"/>
    <x v="7"/>
    <x v="113"/>
    <x v="118"/>
    <n v="1"/>
  </r>
  <r>
    <x v="471"/>
    <s v="O1566"/>
    <x v="4"/>
    <x v="0"/>
    <x v="0"/>
    <x v="4"/>
    <x v="2"/>
    <x v="31"/>
    <x v="114"/>
    <x v="117"/>
    <n v="3"/>
  </r>
  <r>
    <x v="472"/>
    <s v="O1567"/>
    <x v="4"/>
    <x v="0"/>
    <x v="0"/>
    <x v="4"/>
    <x v="2"/>
    <x v="31"/>
    <x v="114"/>
    <x v="117"/>
    <n v="2"/>
  </r>
  <r>
    <x v="473"/>
    <s v="O1568"/>
    <x v="4"/>
    <x v="0"/>
    <x v="3"/>
    <x v="4"/>
    <x v="0"/>
    <x v="8"/>
    <x v="115"/>
    <x v="119"/>
    <n v="2"/>
  </r>
  <r>
    <x v="474"/>
    <s v="O1569"/>
    <x v="2"/>
    <x v="0"/>
    <x v="0"/>
    <x v="2"/>
    <x v="0"/>
    <x v="2"/>
    <x v="115"/>
    <x v="120"/>
    <n v="2"/>
  </r>
  <r>
    <x v="475"/>
    <s v="O1570"/>
    <x v="4"/>
    <x v="0"/>
    <x v="3"/>
    <x v="4"/>
    <x v="0"/>
    <x v="8"/>
    <x v="115"/>
    <x v="119"/>
    <n v="3"/>
  </r>
  <r>
    <x v="476"/>
    <s v="O1571"/>
    <x v="2"/>
    <x v="0"/>
    <x v="0"/>
    <x v="2"/>
    <x v="0"/>
    <x v="2"/>
    <x v="115"/>
    <x v="120"/>
    <n v="1"/>
  </r>
  <r>
    <x v="477"/>
    <s v="O1572"/>
    <x v="2"/>
    <x v="0"/>
    <x v="0"/>
    <x v="2"/>
    <x v="0"/>
    <x v="2"/>
    <x v="116"/>
    <x v="120"/>
    <n v="3"/>
  </r>
  <r>
    <x v="478"/>
    <s v="O1573"/>
    <x v="2"/>
    <x v="0"/>
    <x v="0"/>
    <x v="2"/>
    <x v="0"/>
    <x v="2"/>
    <x v="116"/>
    <x v="120"/>
    <n v="4"/>
  </r>
  <r>
    <x v="479"/>
    <s v="O1574"/>
    <x v="4"/>
    <x v="0"/>
    <x v="1"/>
    <x v="4"/>
    <x v="0"/>
    <x v="41"/>
    <x v="117"/>
    <x v="121"/>
    <n v="2"/>
  </r>
  <r>
    <x v="480"/>
    <s v="O1575"/>
    <x v="2"/>
    <x v="0"/>
    <x v="3"/>
    <x v="2"/>
    <x v="1"/>
    <x v="15"/>
    <x v="117"/>
    <x v="122"/>
    <n v="4"/>
  </r>
  <r>
    <x v="481"/>
    <s v="O1576"/>
    <x v="4"/>
    <x v="0"/>
    <x v="1"/>
    <x v="4"/>
    <x v="0"/>
    <x v="41"/>
    <x v="117"/>
    <x v="121"/>
    <n v="3"/>
  </r>
  <r>
    <x v="482"/>
    <s v="O1577"/>
    <x v="2"/>
    <x v="0"/>
    <x v="3"/>
    <x v="2"/>
    <x v="1"/>
    <x v="15"/>
    <x v="117"/>
    <x v="122"/>
    <n v="4"/>
  </r>
  <r>
    <x v="483"/>
    <s v="O1578"/>
    <x v="4"/>
    <x v="0"/>
    <x v="1"/>
    <x v="4"/>
    <x v="0"/>
    <x v="41"/>
    <x v="117"/>
    <x v="121"/>
    <n v="2"/>
  </r>
  <r>
    <x v="484"/>
    <s v="O1579"/>
    <x v="2"/>
    <x v="0"/>
    <x v="3"/>
    <x v="2"/>
    <x v="1"/>
    <x v="15"/>
    <x v="117"/>
    <x v="122"/>
    <n v="4"/>
  </r>
  <r>
    <x v="485"/>
    <s v="O1580"/>
    <x v="4"/>
    <x v="0"/>
    <x v="0"/>
    <x v="4"/>
    <x v="0"/>
    <x v="9"/>
    <x v="118"/>
    <x v="123"/>
    <n v="1"/>
  </r>
  <r>
    <x v="486"/>
    <s v="O1581"/>
    <x v="3"/>
    <x v="0"/>
    <x v="0"/>
    <x v="3"/>
    <x v="1"/>
    <x v="2"/>
    <x v="118"/>
    <x v="124"/>
    <n v="2"/>
  </r>
  <r>
    <x v="487"/>
    <s v="O1582"/>
    <x v="4"/>
    <x v="0"/>
    <x v="0"/>
    <x v="4"/>
    <x v="0"/>
    <x v="9"/>
    <x v="118"/>
    <x v="123"/>
    <n v="3"/>
  </r>
  <r>
    <x v="488"/>
    <s v="O1583"/>
    <x v="3"/>
    <x v="0"/>
    <x v="0"/>
    <x v="3"/>
    <x v="1"/>
    <x v="2"/>
    <x v="118"/>
    <x v="124"/>
    <n v="1"/>
  </r>
  <r>
    <x v="489"/>
    <s v="O1584"/>
    <x v="4"/>
    <x v="0"/>
    <x v="0"/>
    <x v="4"/>
    <x v="0"/>
    <x v="9"/>
    <x v="118"/>
    <x v="123"/>
    <n v="2"/>
  </r>
  <r>
    <x v="490"/>
    <s v="O1585"/>
    <x v="3"/>
    <x v="0"/>
    <x v="3"/>
    <x v="3"/>
    <x v="0"/>
    <x v="13"/>
    <x v="119"/>
    <x v="125"/>
    <n v="3"/>
  </r>
  <r>
    <x v="491"/>
    <s v="O1586"/>
    <x v="3"/>
    <x v="0"/>
    <x v="0"/>
    <x v="3"/>
    <x v="0"/>
    <x v="12"/>
    <x v="119"/>
    <x v="123"/>
    <n v="1"/>
  </r>
  <r>
    <x v="492"/>
    <s v="O1587"/>
    <x v="3"/>
    <x v="0"/>
    <x v="3"/>
    <x v="3"/>
    <x v="0"/>
    <x v="13"/>
    <x v="119"/>
    <x v="125"/>
    <n v="2"/>
  </r>
  <r>
    <x v="493"/>
    <s v="O1588"/>
    <x v="3"/>
    <x v="0"/>
    <x v="0"/>
    <x v="3"/>
    <x v="0"/>
    <x v="12"/>
    <x v="119"/>
    <x v="123"/>
    <n v="3"/>
  </r>
  <r>
    <x v="494"/>
    <s v="O1589"/>
    <x v="2"/>
    <x v="0"/>
    <x v="0"/>
    <x v="2"/>
    <x v="0"/>
    <x v="2"/>
    <x v="120"/>
    <x v="125"/>
    <n v="3"/>
  </r>
  <r>
    <x v="495"/>
    <s v="O1590"/>
    <x v="2"/>
    <x v="0"/>
    <x v="0"/>
    <x v="2"/>
    <x v="0"/>
    <x v="2"/>
    <x v="120"/>
    <x v="123"/>
    <n v="1"/>
  </r>
  <r>
    <x v="496"/>
    <s v="O1591"/>
    <x v="2"/>
    <x v="0"/>
    <x v="0"/>
    <x v="2"/>
    <x v="0"/>
    <x v="2"/>
    <x v="120"/>
    <x v="125"/>
    <n v="2"/>
  </r>
  <r>
    <x v="497"/>
    <s v="O1592"/>
    <x v="2"/>
    <x v="0"/>
    <x v="0"/>
    <x v="2"/>
    <x v="0"/>
    <x v="2"/>
    <x v="120"/>
    <x v="123"/>
    <n v="4"/>
  </r>
  <r>
    <x v="498"/>
    <s v="O1593"/>
    <x v="2"/>
    <x v="0"/>
    <x v="0"/>
    <x v="2"/>
    <x v="0"/>
    <x v="2"/>
    <x v="120"/>
    <x v="123"/>
    <n v="4"/>
  </r>
  <r>
    <x v="499"/>
    <s v="O1594"/>
    <x v="3"/>
    <x v="0"/>
    <x v="3"/>
    <x v="3"/>
    <x v="0"/>
    <x v="13"/>
    <x v="121"/>
    <x v="126"/>
    <n v="3"/>
  </r>
  <r>
    <x v="500"/>
    <s v="O1595"/>
    <x v="3"/>
    <x v="0"/>
    <x v="3"/>
    <x v="3"/>
    <x v="0"/>
    <x v="13"/>
    <x v="121"/>
    <x v="126"/>
    <n v="4"/>
  </r>
  <r>
    <x v="501"/>
    <s v="O1596"/>
    <x v="3"/>
    <x v="0"/>
    <x v="0"/>
    <x v="3"/>
    <x v="1"/>
    <x v="2"/>
    <x v="122"/>
    <x v="127"/>
    <n v="3"/>
  </r>
  <r>
    <x v="502"/>
    <s v="O1597"/>
    <x v="3"/>
    <x v="0"/>
    <x v="0"/>
    <x v="3"/>
    <x v="1"/>
    <x v="2"/>
    <x v="122"/>
    <x v="127"/>
    <n v="1"/>
  </r>
  <r>
    <x v="503"/>
    <s v="O1598"/>
    <x v="0"/>
    <x v="0"/>
    <x v="0"/>
    <x v="0"/>
    <x v="0"/>
    <x v="0"/>
    <x v="123"/>
    <x v="128"/>
    <n v="4"/>
  </r>
  <r>
    <x v="504"/>
    <s v="O1599"/>
    <x v="0"/>
    <x v="0"/>
    <x v="0"/>
    <x v="0"/>
    <x v="0"/>
    <x v="0"/>
    <x v="123"/>
    <x v="128"/>
    <n v="2"/>
  </r>
  <r>
    <x v="505"/>
    <s v="O1600"/>
    <x v="3"/>
    <x v="0"/>
    <x v="3"/>
    <x v="3"/>
    <x v="0"/>
    <x v="13"/>
    <x v="124"/>
    <x v="128"/>
    <n v="1"/>
  </r>
  <r>
    <x v="506"/>
    <s v="O1601"/>
    <x v="3"/>
    <x v="0"/>
    <x v="3"/>
    <x v="3"/>
    <x v="0"/>
    <x v="13"/>
    <x v="124"/>
    <x v="128"/>
    <n v="3"/>
  </r>
  <r>
    <x v="507"/>
    <s v="O1602"/>
    <x v="5"/>
    <x v="0"/>
    <x v="3"/>
    <x v="5"/>
    <x v="0"/>
    <x v="17"/>
    <x v="125"/>
    <x v="129"/>
    <n v="4"/>
  </r>
  <r>
    <x v="508"/>
    <s v="O1603"/>
    <x v="4"/>
    <x v="0"/>
    <x v="3"/>
    <x v="4"/>
    <x v="0"/>
    <x v="8"/>
    <x v="125"/>
    <x v="130"/>
    <n v="1"/>
  </r>
  <r>
    <x v="509"/>
    <s v="O1604"/>
    <x v="5"/>
    <x v="0"/>
    <x v="3"/>
    <x v="5"/>
    <x v="0"/>
    <x v="17"/>
    <x v="125"/>
    <x v="129"/>
    <n v="2"/>
  </r>
  <r>
    <x v="510"/>
    <s v="O1605"/>
    <x v="4"/>
    <x v="0"/>
    <x v="3"/>
    <x v="4"/>
    <x v="0"/>
    <x v="8"/>
    <x v="125"/>
    <x v="130"/>
    <n v="4"/>
  </r>
  <r>
    <x v="511"/>
    <s v="O1606"/>
    <x v="4"/>
    <x v="0"/>
    <x v="0"/>
    <x v="4"/>
    <x v="1"/>
    <x v="7"/>
    <x v="126"/>
    <x v="129"/>
    <n v="2"/>
  </r>
  <r>
    <x v="512"/>
    <s v="O1607"/>
    <x v="2"/>
    <x v="0"/>
    <x v="2"/>
    <x v="2"/>
    <x v="0"/>
    <x v="20"/>
    <x v="126"/>
    <x v="131"/>
    <n v="4"/>
  </r>
  <r>
    <x v="513"/>
    <s v="O1608"/>
    <x v="4"/>
    <x v="0"/>
    <x v="0"/>
    <x v="4"/>
    <x v="1"/>
    <x v="7"/>
    <x v="126"/>
    <x v="129"/>
    <n v="1"/>
  </r>
  <r>
    <x v="514"/>
    <s v="O1609"/>
    <x v="2"/>
    <x v="0"/>
    <x v="2"/>
    <x v="2"/>
    <x v="0"/>
    <x v="20"/>
    <x v="126"/>
    <x v="131"/>
    <n v="2"/>
  </r>
  <r>
    <x v="515"/>
    <s v="O1610"/>
    <x v="2"/>
    <x v="0"/>
    <x v="2"/>
    <x v="2"/>
    <x v="0"/>
    <x v="20"/>
    <x v="126"/>
    <x v="131"/>
    <n v="1"/>
  </r>
  <r>
    <x v="516"/>
    <s v="O1611"/>
    <x v="2"/>
    <x v="0"/>
    <x v="0"/>
    <x v="2"/>
    <x v="1"/>
    <x v="14"/>
    <x v="127"/>
    <x v="130"/>
    <n v="1"/>
  </r>
  <r>
    <x v="517"/>
    <s v="O1612"/>
    <x v="2"/>
    <x v="0"/>
    <x v="0"/>
    <x v="2"/>
    <x v="1"/>
    <x v="14"/>
    <x v="127"/>
    <x v="130"/>
    <n v="3"/>
  </r>
  <r>
    <x v="518"/>
    <s v="O1613"/>
    <x v="2"/>
    <x v="0"/>
    <x v="0"/>
    <x v="2"/>
    <x v="2"/>
    <x v="10"/>
    <x v="128"/>
    <x v="132"/>
    <n v="1"/>
  </r>
  <r>
    <x v="519"/>
    <s v="O1614"/>
    <x v="2"/>
    <x v="0"/>
    <x v="0"/>
    <x v="2"/>
    <x v="2"/>
    <x v="10"/>
    <x v="128"/>
    <x v="132"/>
    <n v="4"/>
  </r>
  <r>
    <x v="520"/>
    <s v="O1615"/>
    <x v="2"/>
    <x v="0"/>
    <x v="0"/>
    <x v="2"/>
    <x v="2"/>
    <x v="10"/>
    <x v="128"/>
    <x v="132"/>
    <n v="2"/>
  </r>
  <r>
    <x v="521"/>
    <s v="O1616"/>
    <x v="4"/>
    <x v="0"/>
    <x v="0"/>
    <x v="4"/>
    <x v="2"/>
    <x v="31"/>
    <x v="129"/>
    <x v="133"/>
    <n v="4"/>
  </r>
  <r>
    <x v="522"/>
    <s v="O1617"/>
    <x v="4"/>
    <x v="0"/>
    <x v="0"/>
    <x v="4"/>
    <x v="2"/>
    <x v="31"/>
    <x v="129"/>
    <x v="133"/>
    <n v="4"/>
  </r>
  <r>
    <x v="523"/>
    <s v="O1618"/>
    <x v="0"/>
    <x v="0"/>
    <x v="0"/>
    <x v="0"/>
    <x v="0"/>
    <x v="0"/>
    <x v="130"/>
    <x v="134"/>
    <n v="4"/>
  </r>
  <r>
    <x v="524"/>
    <s v="O1619"/>
    <x v="0"/>
    <x v="0"/>
    <x v="0"/>
    <x v="0"/>
    <x v="0"/>
    <x v="0"/>
    <x v="130"/>
    <x v="134"/>
    <n v="3"/>
  </r>
  <r>
    <x v="525"/>
    <s v="O1620"/>
    <x v="3"/>
    <x v="0"/>
    <x v="0"/>
    <x v="3"/>
    <x v="0"/>
    <x v="12"/>
    <x v="131"/>
    <x v="135"/>
    <n v="1"/>
  </r>
  <r>
    <x v="526"/>
    <s v="O1621"/>
    <x v="3"/>
    <x v="0"/>
    <x v="0"/>
    <x v="3"/>
    <x v="0"/>
    <x v="12"/>
    <x v="131"/>
    <x v="135"/>
    <n v="2"/>
  </r>
  <r>
    <x v="527"/>
    <s v="O1622"/>
    <x v="4"/>
    <x v="0"/>
    <x v="0"/>
    <x v="4"/>
    <x v="0"/>
    <x v="9"/>
    <x v="132"/>
    <x v="136"/>
    <n v="3"/>
  </r>
  <r>
    <x v="528"/>
    <s v="O1623"/>
    <x v="9"/>
    <x v="0"/>
    <x v="0"/>
    <x v="9"/>
    <x v="0"/>
    <x v="16"/>
    <x v="132"/>
    <x v="137"/>
    <n v="1"/>
  </r>
  <r>
    <x v="529"/>
    <s v="O1624"/>
    <x v="4"/>
    <x v="0"/>
    <x v="0"/>
    <x v="4"/>
    <x v="0"/>
    <x v="9"/>
    <x v="132"/>
    <x v="136"/>
    <n v="3"/>
  </r>
  <r>
    <x v="530"/>
    <s v="O1625"/>
    <x v="9"/>
    <x v="0"/>
    <x v="0"/>
    <x v="9"/>
    <x v="0"/>
    <x v="16"/>
    <x v="132"/>
    <x v="137"/>
    <n v="4"/>
  </r>
  <r>
    <x v="531"/>
    <s v="O1626"/>
    <x v="4"/>
    <x v="0"/>
    <x v="0"/>
    <x v="4"/>
    <x v="0"/>
    <x v="9"/>
    <x v="132"/>
    <x v="136"/>
    <n v="4"/>
  </r>
  <r>
    <x v="532"/>
    <s v="O1627"/>
    <x v="9"/>
    <x v="0"/>
    <x v="0"/>
    <x v="9"/>
    <x v="0"/>
    <x v="16"/>
    <x v="132"/>
    <x v="137"/>
    <n v="3"/>
  </r>
  <r>
    <x v="533"/>
    <s v="O1628"/>
    <x v="2"/>
    <x v="0"/>
    <x v="3"/>
    <x v="2"/>
    <x v="0"/>
    <x v="5"/>
    <x v="133"/>
    <x v="136"/>
    <n v="4"/>
  </r>
  <r>
    <x v="534"/>
    <s v="O1629"/>
    <x v="2"/>
    <x v="0"/>
    <x v="0"/>
    <x v="2"/>
    <x v="0"/>
    <x v="2"/>
    <x v="133"/>
    <x v="136"/>
    <n v="3"/>
  </r>
  <r>
    <x v="535"/>
    <s v="O1630"/>
    <x v="10"/>
    <x v="1"/>
    <x v="0"/>
    <x v="8"/>
    <x v="0"/>
    <x v="18"/>
    <x v="133"/>
    <x v="138"/>
    <n v="4"/>
  </r>
  <r>
    <x v="536"/>
    <s v="O1631"/>
    <x v="2"/>
    <x v="0"/>
    <x v="3"/>
    <x v="2"/>
    <x v="0"/>
    <x v="5"/>
    <x v="133"/>
    <x v="136"/>
    <n v="3"/>
  </r>
  <r>
    <x v="537"/>
    <s v="O1632"/>
    <x v="2"/>
    <x v="0"/>
    <x v="0"/>
    <x v="2"/>
    <x v="0"/>
    <x v="2"/>
    <x v="133"/>
    <x v="136"/>
    <n v="3"/>
  </r>
  <r>
    <x v="538"/>
    <s v="O1633"/>
    <x v="10"/>
    <x v="1"/>
    <x v="0"/>
    <x v="8"/>
    <x v="0"/>
    <x v="18"/>
    <x v="133"/>
    <x v="138"/>
    <n v="1"/>
  </r>
  <r>
    <x v="539"/>
    <s v="O1634"/>
    <x v="2"/>
    <x v="0"/>
    <x v="3"/>
    <x v="2"/>
    <x v="2"/>
    <x v="17"/>
    <x v="134"/>
    <x v="139"/>
    <n v="3"/>
  </r>
  <r>
    <x v="540"/>
    <s v="O1635"/>
    <x v="2"/>
    <x v="0"/>
    <x v="3"/>
    <x v="2"/>
    <x v="2"/>
    <x v="17"/>
    <x v="134"/>
    <x v="139"/>
    <n v="3"/>
  </r>
  <r>
    <x v="541"/>
    <s v="O1636"/>
    <x v="3"/>
    <x v="0"/>
    <x v="0"/>
    <x v="3"/>
    <x v="0"/>
    <x v="12"/>
    <x v="135"/>
    <x v="140"/>
    <n v="2"/>
  </r>
  <r>
    <x v="542"/>
    <s v="O1637"/>
    <x v="10"/>
    <x v="1"/>
    <x v="3"/>
    <x v="8"/>
    <x v="2"/>
    <x v="20"/>
    <x v="135"/>
    <x v="141"/>
    <n v="3"/>
  </r>
  <r>
    <x v="543"/>
    <s v="O1638"/>
    <x v="3"/>
    <x v="0"/>
    <x v="0"/>
    <x v="3"/>
    <x v="0"/>
    <x v="12"/>
    <x v="135"/>
    <x v="140"/>
    <n v="2"/>
  </r>
  <r>
    <x v="544"/>
    <s v="O1639"/>
    <x v="10"/>
    <x v="1"/>
    <x v="3"/>
    <x v="8"/>
    <x v="2"/>
    <x v="20"/>
    <x v="135"/>
    <x v="141"/>
    <n v="2"/>
  </r>
  <r>
    <x v="545"/>
    <s v="O1640"/>
    <x v="3"/>
    <x v="0"/>
    <x v="0"/>
    <x v="3"/>
    <x v="0"/>
    <x v="12"/>
    <x v="136"/>
    <x v="140"/>
    <n v="3"/>
  </r>
  <r>
    <x v="546"/>
    <s v="O1641"/>
    <x v="4"/>
    <x v="0"/>
    <x v="0"/>
    <x v="4"/>
    <x v="0"/>
    <x v="9"/>
    <x v="136"/>
    <x v="139"/>
    <n v="4"/>
  </r>
  <r>
    <x v="547"/>
    <s v="O1642"/>
    <x v="3"/>
    <x v="0"/>
    <x v="0"/>
    <x v="3"/>
    <x v="0"/>
    <x v="12"/>
    <x v="136"/>
    <x v="140"/>
    <n v="4"/>
  </r>
  <r>
    <x v="548"/>
    <s v="O1643"/>
    <x v="4"/>
    <x v="0"/>
    <x v="0"/>
    <x v="4"/>
    <x v="0"/>
    <x v="9"/>
    <x v="136"/>
    <x v="139"/>
    <n v="2"/>
  </r>
  <r>
    <x v="549"/>
    <s v="O1644"/>
    <x v="3"/>
    <x v="0"/>
    <x v="0"/>
    <x v="3"/>
    <x v="0"/>
    <x v="12"/>
    <x v="136"/>
    <x v="140"/>
    <n v="2"/>
  </r>
  <r>
    <x v="550"/>
    <s v="O1645"/>
    <x v="4"/>
    <x v="0"/>
    <x v="0"/>
    <x v="4"/>
    <x v="0"/>
    <x v="9"/>
    <x v="136"/>
    <x v="139"/>
    <n v="3"/>
  </r>
  <r>
    <x v="551"/>
    <s v="O1646"/>
    <x v="3"/>
    <x v="0"/>
    <x v="0"/>
    <x v="3"/>
    <x v="0"/>
    <x v="12"/>
    <x v="137"/>
    <x v="142"/>
    <n v="4"/>
  </r>
  <r>
    <x v="552"/>
    <s v="O1647"/>
    <x v="3"/>
    <x v="0"/>
    <x v="0"/>
    <x v="3"/>
    <x v="0"/>
    <x v="12"/>
    <x v="137"/>
    <x v="142"/>
    <n v="2"/>
  </r>
  <r>
    <x v="553"/>
    <s v="O1648"/>
    <x v="2"/>
    <x v="0"/>
    <x v="0"/>
    <x v="2"/>
    <x v="1"/>
    <x v="14"/>
    <x v="138"/>
    <x v="143"/>
    <n v="2"/>
  </r>
  <r>
    <x v="554"/>
    <s v="O1649"/>
    <x v="2"/>
    <x v="0"/>
    <x v="0"/>
    <x v="2"/>
    <x v="2"/>
    <x v="10"/>
    <x v="138"/>
    <x v="139"/>
    <n v="2"/>
  </r>
  <r>
    <x v="555"/>
    <s v="O1650"/>
    <x v="2"/>
    <x v="0"/>
    <x v="0"/>
    <x v="2"/>
    <x v="1"/>
    <x v="14"/>
    <x v="138"/>
    <x v="143"/>
    <n v="2"/>
  </r>
  <r>
    <x v="556"/>
    <s v="O1651"/>
    <x v="2"/>
    <x v="0"/>
    <x v="0"/>
    <x v="2"/>
    <x v="2"/>
    <x v="10"/>
    <x v="138"/>
    <x v="139"/>
    <n v="4"/>
  </r>
  <r>
    <x v="557"/>
    <s v="O1652"/>
    <x v="3"/>
    <x v="0"/>
    <x v="3"/>
    <x v="3"/>
    <x v="1"/>
    <x v="11"/>
    <x v="139"/>
    <x v="143"/>
    <n v="1"/>
  </r>
  <r>
    <x v="558"/>
    <s v="O1653"/>
    <x v="2"/>
    <x v="0"/>
    <x v="0"/>
    <x v="2"/>
    <x v="0"/>
    <x v="2"/>
    <x v="139"/>
    <x v="143"/>
    <n v="1"/>
  </r>
  <r>
    <x v="559"/>
    <s v="O1654"/>
    <x v="3"/>
    <x v="0"/>
    <x v="3"/>
    <x v="3"/>
    <x v="1"/>
    <x v="11"/>
    <x v="139"/>
    <x v="143"/>
    <n v="4"/>
  </r>
  <r>
    <x v="560"/>
    <s v="O1655"/>
    <x v="2"/>
    <x v="0"/>
    <x v="0"/>
    <x v="2"/>
    <x v="0"/>
    <x v="2"/>
    <x v="139"/>
    <x v="143"/>
    <n v="3"/>
  </r>
  <r>
    <x v="561"/>
    <s v="O1656"/>
    <x v="3"/>
    <x v="0"/>
    <x v="3"/>
    <x v="3"/>
    <x v="1"/>
    <x v="11"/>
    <x v="139"/>
    <x v="143"/>
    <n v="4"/>
  </r>
  <r>
    <x v="562"/>
    <s v="O1657"/>
    <x v="0"/>
    <x v="0"/>
    <x v="2"/>
    <x v="0"/>
    <x v="0"/>
    <x v="42"/>
    <x v="140"/>
    <x v="143"/>
    <n v="1"/>
  </r>
  <r>
    <x v="563"/>
    <s v="O1658"/>
    <x v="0"/>
    <x v="0"/>
    <x v="0"/>
    <x v="0"/>
    <x v="1"/>
    <x v="43"/>
    <x v="140"/>
    <x v="143"/>
    <n v="4"/>
  </r>
  <r>
    <x v="564"/>
    <s v="O1659"/>
    <x v="0"/>
    <x v="0"/>
    <x v="2"/>
    <x v="0"/>
    <x v="0"/>
    <x v="42"/>
    <x v="140"/>
    <x v="143"/>
    <n v="4"/>
  </r>
  <r>
    <x v="565"/>
    <s v="O1660"/>
    <x v="0"/>
    <x v="0"/>
    <x v="0"/>
    <x v="0"/>
    <x v="1"/>
    <x v="43"/>
    <x v="140"/>
    <x v="143"/>
    <n v="1"/>
  </r>
  <r>
    <x v="566"/>
    <s v="O1661"/>
    <x v="0"/>
    <x v="0"/>
    <x v="0"/>
    <x v="0"/>
    <x v="1"/>
    <x v="43"/>
    <x v="140"/>
    <x v="143"/>
    <n v="4"/>
  </r>
  <r>
    <x v="567"/>
    <s v="O1662"/>
    <x v="3"/>
    <x v="0"/>
    <x v="0"/>
    <x v="3"/>
    <x v="2"/>
    <x v="14"/>
    <x v="141"/>
    <x v="144"/>
    <n v="1"/>
  </r>
  <r>
    <x v="568"/>
    <s v="O1663"/>
    <x v="2"/>
    <x v="0"/>
    <x v="0"/>
    <x v="2"/>
    <x v="2"/>
    <x v="10"/>
    <x v="141"/>
    <x v="145"/>
    <n v="3"/>
  </r>
  <r>
    <x v="569"/>
    <s v="O1664"/>
    <x v="2"/>
    <x v="0"/>
    <x v="0"/>
    <x v="2"/>
    <x v="2"/>
    <x v="10"/>
    <x v="141"/>
    <x v="144"/>
    <n v="4"/>
  </r>
  <r>
    <x v="570"/>
    <s v="O1665"/>
    <x v="3"/>
    <x v="0"/>
    <x v="0"/>
    <x v="3"/>
    <x v="2"/>
    <x v="14"/>
    <x v="141"/>
    <x v="144"/>
    <n v="4"/>
  </r>
  <r>
    <x v="571"/>
    <s v="O1666"/>
    <x v="2"/>
    <x v="0"/>
    <x v="0"/>
    <x v="2"/>
    <x v="2"/>
    <x v="10"/>
    <x v="141"/>
    <x v="145"/>
    <n v="3"/>
  </r>
  <r>
    <x v="572"/>
    <s v="O1667"/>
    <x v="2"/>
    <x v="0"/>
    <x v="0"/>
    <x v="2"/>
    <x v="2"/>
    <x v="10"/>
    <x v="141"/>
    <x v="144"/>
    <n v="1"/>
  </r>
  <r>
    <x v="573"/>
    <s v="O1668"/>
    <x v="5"/>
    <x v="0"/>
    <x v="0"/>
    <x v="5"/>
    <x v="0"/>
    <x v="14"/>
    <x v="142"/>
    <x v="144"/>
    <n v="4"/>
  </r>
  <r>
    <x v="574"/>
    <s v="O1669"/>
    <x v="5"/>
    <x v="0"/>
    <x v="0"/>
    <x v="5"/>
    <x v="0"/>
    <x v="14"/>
    <x v="142"/>
    <x v="144"/>
    <n v="2"/>
  </r>
  <r>
    <x v="575"/>
    <s v="O1670"/>
    <x v="5"/>
    <x v="0"/>
    <x v="0"/>
    <x v="5"/>
    <x v="0"/>
    <x v="14"/>
    <x v="142"/>
    <x v="144"/>
    <n v="4"/>
  </r>
  <r>
    <x v="576"/>
    <s v="O1671"/>
    <x v="3"/>
    <x v="0"/>
    <x v="0"/>
    <x v="3"/>
    <x v="0"/>
    <x v="12"/>
    <x v="143"/>
    <x v="145"/>
    <n v="4"/>
  </r>
  <r>
    <x v="577"/>
    <s v="O1672"/>
    <x v="3"/>
    <x v="0"/>
    <x v="0"/>
    <x v="3"/>
    <x v="0"/>
    <x v="12"/>
    <x v="143"/>
    <x v="145"/>
    <n v="2"/>
  </r>
  <r>
    <x v="578"/>
    <s v="O1673"/>
    <x v="3"/>
    <x v="0"/>
    <x v="0"/>
    <x v="3"/>
    <x v="0"/>
    <x v="12"/>
    <x v="143"/>
    <x v="145"/>
    <n v="1"/>
  </r>
  <r>
    <x v="579"/>
    <s v="O1674"/>
    <x v="2"/>
    <x v="0"/>
    <x v="0"/>
    <x v="2"/>
    <x v="0"/>
    <x v="2"/>
    <x v="144"/>
    <x v="146"/>
    <n v="2"/>
  </r>
  <r>
    <x v="580"/>
    <s v="O1675"/>
    <x v="2"/>
    <x v="0"/>
    <x v="0"/>
    <x v="2"/>
    <x v="0"/>
    <x v="2"/>
    <x v="144"/>
    <x v="147"/>
    <n v="2"/>
  </r>
  <r>
    <x v="581"/>
    <s v="O1676"/>
    <x v="2"/>
    <x v="0"/>
    <x v="0"/>
    <x v="2"/>
    <x v="0"/>
    <x v="2"/>
    <x v="144"/>
    <x v="146"/>
    <n v="2"/>
  </r>
  <r>
    <x v="582"/>
    <s v="O1677"/>
    <x v="2"/>
    <x v="0"/>
    <x v="0"/>
    <x v="2"/>
    <x v="0"/>
    <x v="2"/>
    <x v="144"/>
    <x v="147"/>
    <n v="3"/>
  </r>
  <r>
    <x v="583"/>
    <s v="O1678"/>
    <x v="2"/>
    <x v="0"/>
    <x v="0"/>
    <x v="2"/>
    <x v="0"/>
    <x v="2"/>
    <x v="144"/>
    <x v="147"/>
    <n v="1"/>
  </r>
  <r>
    <x v="584"/>
    <s v="O1679"/>
    <x v="3"/>
    <x v="0"/>
    <x v="0"/>
    <x v="3"/>
    <x v="1"/>
    <x v="2"/>
    <x v="145"/>
    <x v="148"/>
    <n v="4"/>
  </r>
  <r>
    <x v="585"/>
    <s v="O1680"/>
    <x v="3"/>
    <x v="0"/>
    <x v="0"/>
    <x v="3"/>
    <x v="1"/>
    <x v="2"/>
    <x v="145"/>
    <x v="148"/>
    <n v="2"/>
  </r>
  <r>
    <x v="586"/>
    <s v="O1681"/>
    <x v="4"/>
    <x v="0"/>
    <x v="0"/>
    <x v="4"/>
    <x v="2"/>
    <x v="31"/>
    <x v="146"/>
    <x v="149"/>
    <n v="3"/>
  </r>
  <r>
    <x v="587"/>
    <s v="O1682"/>
    <x v="4"/>
    <x v="0"/>
    <x v="0"/>
    <x v="4"/>
    <x v="2"/>
    <x v="31"/>
    <x v="146"/>
    <x v="149"/>
    <n v="2"/>
  </r>
  <r>
    <x v="588"/>
    <s v="O1683"/>
    <x v="2"/>
    <x v="0"/>
    <x v="0"/>
    <x v="2"/>
    <x v="0"/>
    <x v="2"/>
    <x v="147"/>
    <x v="150"/>
    <n v="3"/>
  </r>
  <r>
    <x v="589"/>
    <s v="O1684"/>
    <x v="2"/>
    <x v="0"/>
    <x v="0"/>
    <x v="2"/>
    <x v="0"/>
    <x v="2"/>
    <x v="147"/>
    <x v="150"/>
    <n v="3"/>
  </r>
  <r>
    <x v="590"/>
    <s v="O1685"/>
    <x v="3"/>
    <x v="0"/>
    <x v="0"/>
    <x v="3"/>
    <x v="0"/>
    <x v="12"/>
    <x v="148"/>
    <x v="148"/>
    <n v="2"/>
  </r>
  <r>
    <x v="591"/>
    <s v="O1686"/>
    <x v="2"/>
    <x v="0"/>
    <x v="0"/>
    <x v="2"/>
    <x v="0"/>
    <x v="2"/>
    <x v="148"/>
    <x v="148"/>
    <n v="1"/>
  </r>
  <r>
    <x v="592"/>
    <s v="O1687"/>
    <x v="2"/>
    <x v="0"/>
    <x v="0"/>
    <x v="2"/>
    <x v="0"/>
    <x v="2"/>
    <x v="148"/>
    <x v="151"/>
    <n v="4"/>
  </r>
  <r>
    <x v="593"/>
    <s v="O1688"/>
    <x v="3"/>
    <x v="0"/>
    <x v="0"/>
    <x v="3"/>
    <x v="0"/>
    <x v="12"/>
    <x v="148"/>
    <x v="148"/>
    <n v="3"/>
  </r>
  <r>
    <x v="594"/>
    <s v="O1689"/>
    <x v="2"/>
    <x v="0"/>
    <x v="0"/>
    <x v="2"/>
    <x v="0"/>
    <x v="2"/>
    <x v="148"/>
    <x v="148"/>
    <n v="2"/>
  </r>
  <r>
    <x v="595"/>
    <s v="O1690"/>
    <x v="2"/>
    <x v="0"/>
    <x v="0"/>
    <x v="2"/>
    <x v="0"/>
    <x v="2"/>
    <x v="148"/>
    <x v="151"/>
    <n v="1"/>
  </r>
  <r>
    <x v="596"/>
    <s v="O1691"/>
    <x v="3"/>
    <x v="0"/>
    <x v="0"/>
    <x v="3"/>
    <x v="0"/>
    <x v="12"/>
    <x v="148"/>
    <x v="148"/>
    <n v="1"/>
  </r>
  <r>
    <x v="597"/>
    <s v="O1692"/>
    <x v="2"/>
    <x v="0"/>
    <x v="0"/>
    <x v="2"/>
    <x v="0"/>
    <x v="2"/>
    <x v="148"/>
    <x v="148"/>
    <n v="1"/>
  </r>
  <r>
    <x v="598"/>
    <s v="O1693"/>
    <x v="2"/>
    <x v="0"/>
    <x v="0"/>
    <x v="2"/>
    <x v="0"/>
    <x v="2"/>
    <x v="148"/>
    <x v="151"/>
    <n v="4"/>
  </r>
  <r>
    <x v="599"/>
    <s v="O1694"/>
    <x v="2"/>
    <x v="0"/>
    <x v="3"/>
    <x v="2"/>
    <x v="0"/>
    <x v="5"/>
    <x v="149"/>
    <x v="152"/>
    <n v="2"/>
  </r>
  <r>
    <x v="600"/>
    <s v="O1695"/>
    <x v="2"/>
    <x v="0"/>
    <x v="3"/>
    <x v="2"/>
    <x v="0"/>
    <x v="5"/>
    <x v="149"/>
    <x v="152"/>
    <n v="1"/>
  </r>
  <r>
    <x v="601"/>
    <s v="O1696"/>
    <x v="4"/>
    <x v="0"/>
    <x v="2"/>
    <x v="4"/>
    <x v="0"/>
    <x v="44"/>
    <x v="150"/>
    <x v="153"/>
    <n v="1"/>
  </r>
  <r>
    <x v="602"/>
    <s v="O1697"/>
    <x v="4"/>
    <x v="0"/>
    <x v="2"/>
    <x v="4"/>
    <x v="0"/>
    <x v="44"/>
    <x v="150"/>
    <x v="153"/>
    <n v="2"/>
  </r>
  <r>
    <x v="603"/>
    <s v="O1698"/>
    <x v="2"/>
    <x v="0"/>
    <x v="0"/>
    <x v="2"/>
    <x v="1"/>
    <x v="14"/>
    <x v="151"/>
    <x v="151"/>
    <n v="1"/>
  </r>
  <r>
    <x v="604"/>
    <s v="O1699"/>
    <x v="4"/>
    <x v="0"/>
    <x v="3"/>
    <x v="4"/>
    <x v="0"/>
    <x v="8"/>
    <x v="151"/>
    <x v="152"/>
    <n v="4"/>
  </r>
  <r>
    <x v="605"/>
    <s v="O1700"/>
    <x v="3"/>
    <x v="0"/>
    <x v="1"/>
    <x v="3"/>
    <x v="2"/>
    <x v="45"/>
    <x v="151"/>
    <x v="153"/>
    <n v="3"/>
  </r>
  <r>
    <x v="606"/>
    <s v="O1701"/>
    <x v="5"/>
    <x v="0"/>
    <x v="0"/>
    <x v="5"/>
    <x v="1"/>
    <x v="10"/>
    <x v="151"/>
    <x v="154"/>
    <n v="3"/>
  </r>
  <r>
    <x v="607"/>
    <s v="O1702"/>
    <x v="2"/>
    <x v="0"/>
    <x v="0"/>
    <x v="2"/>
    <x v="1"/>
    <x v="14"/>
    <x v="151"/>
    <x v="151"/>
    <n v="1"/>
  </r>
  <r>
    <x v="608"/>
    <s v="O1703"/>
    <x v="4"/>
    <x v="0"/>
    <x v="3"/>
    <x v="4"/>
    <x v="0"/>
    <x v="8"/>
    <x v="151"/>
    <x v="152"/>
    <n v="1"/>
  </r>
  <r>
    <x v="609"/>
    <s v="O1704"/>
    <x v="3"/>
    <x v="0"/>
    <x v="1"/>
    <x v="3"/>
    <x v="2"/>
    <x v="45"/>
    <x v="151"/>
    <x v="153"/>
    <n v="4"/>
  </r>
  <r>
    <x v="610"/>
    <s v="O1705"/>
    <x v="5"/>
    <x v="0"/>
    <x v="0"/>
    <x v="5"/>
    <x v="1"/>
    <x v="10"/>
    <x v="151"/>
    <x v="154"/>
    <n v="2"/>
  </r>
  <r>
    <x v="611"/>
    <s v="O1706"/>
    <x v="3"/>
    <x v="0"/>
    <x v="1"/>
    <x v="3"/>
    <x v="2"/>
    <x v="45"/>
    <x v="151"/>
    <x v="153"/>
    <n v="1"/>
  </r>
  <r>
    <x v="612"/>
    <s v="O1707"/>
    <x v="5"/>
    <x v="0"/>
    <x v="0"/>
    <x v="5"/>
    <x v="1"/>
    <x v="10"/>
    <x v="151"/>
    <x v="154"/>
    <n v="1"/>
  </r>
  <r>
    <x v="613"/>
    <s v="O1708"/>
    <x v="2"/>
    <x v="0"/>
    <x v="0"/>
    <x v="2"/>
    <x v="0"/>
    <x v="2"/>
    <x v="152"/>
    <x v="153"/>
    <n v="3"/>
  </r>
  <r>
    <x v="614"/>
    <s v="O1709"/>
    <x v="2"/>
    <x v="0"/>
    <x v="0"/>
    <x v="2"/>
    <x v="0"/>
    <x v="2"/>
    <x v="152"/>
    <x v="153"/>
    <n v="1"/>
  </r>
  <r>
    <x v="615"/>
    <s v="O1710"/>
    <x v="3"/>
    <x v="0"/>
    <x v="0"/>
    <x v="3"/>
    <x v="0"/>
    <x v="12"/>
    <x v="153"/>
    <x v="155"/>
    <n v="3"/>
  </r>
  <r>
    <x v="616"/>
    <s v="O1711"/>
    <x v="4"/>
    <x v="0"/>
    <x v="0"/>
    <x v="4"/>
    <x v="0"/>
    <x v="9"/>
    <x v="153"/>
    <x v="156"/>
    <n v="2"/>
  </r>
  <r>
    <x v="617"/>
    <s v="O1712"/>
    <x v="2"/>
    <x v="0"/>
    <x v="0"/>
    <x v="2"/>
    <x v="0"/>
    <x v="2"/>
    <x v="153"/>
    <x v="155"/>
    <n v="1"/>
  </r>
  <r>
    <x v="618"/>
    <s v="O1713"/>
    <x v="2"/>
    <x v="0"/>
    <x v="0"/>
    <x v="2"/>
    <x v="0"/>
    <x v="2"/>
    <x v="153"/>
    <x v="153"/>
    <n v="1"/>
  </r>
  <r>
    <x v="619"/>
    <s v="O1714"/>
    <x v="2"/>
    <x v="0"/>
    <x v="0"/>
    <x v="2"/>
    <x v="0"/>
    <x v="2"/>
    <x v="153"/>
    <x v="153"/>
    <n v="1"/>
  </r>
  <r>
    <x v="620"/>
    <s v="O1715"/>
    <x v="3"/>
    <x v="0"/>
    <x v="0"/>
    <x v="3"/>
    <x v="0"/>
    <x v="12"/>
    <x v="153"/>
    <x v="155"/>
    <n v="3"/>
  </r>
  <r>
    <x v="621"/>
    <s v="O1716"/>
    <x v="4"/>
    <x v="0"/>
    <x v="0"/>
    <x v="4"/>
    <x v="0"/>
    <x v="9"/>
    <x v="153"/>
    <x v="156"/>
    <n v="1"/>
  </r>
  <r>
    <x v="622"/>
    <s v="O1717"/>
    <x v="2"/>
    <x v="0"/>
    <x v="0"/>
    <x v="2"/>
    <x v="0"/>
    <x v="2"/>
    <x v="153"/>
    <x v="155"/>
    <n v="3"/>
  </r>
  <r>
    <x v="623"/>
    <s v="O1718"/>
    <x v="2"/>
    <x v="0"/>
    <x v="0"/>
    <x v="2"/>
    <x v="0"/>
    <x v="2"/>
    <x v="153"/>
    <x v="153"/>
    <n v="2"/>
  </r>
  <r>
    <x v="624"/>
    <s v="O1719"/>
    <x v="2"/>
    <x v="0"/>
    <x v="0"/>
    <x v="2"/>
    <x v="0"/>
    <x v="2"/>
    <x v="153"/>
    <x v="153"/>
    <n v="1"/>
  </r>
  <r>
    <x v="625"/>
    <s v="O1720"/>
    <x v="2"/>
    <x v="0"/>
    <x v="0"/>
    <x v="2"/>
    <x v="0"/>
    <x v="2"/>
    <x v="153"/>
    <x v="153"/>
    <n v="2"/>
  </r>
  <r>
    <x v="626"/>
    <s v="O1721"/>
    <x v="2"/>
    <x v="0"/>
    <x v="0"/>
    <x v="2"/>
    <x v="0"/>
    <x v="2"/>
    <x v="153"/>
    <x v="153"/>
    <n v="4"/>
  </r>
  <r>
    <x v="627"/>
    <s v="O1722"/>
    <x v="2"/>
    <x v="0"/>
    <x v="0"/>
    <x v="2"/>
    <x v="0"/>
    <x v="2"/>
    <x v="154"/>
    <x v="155"/>
    <n v="4"/>
  </r>
  <r>
    <x v="628"/>
    <s v="O1723"/>
    <x v="2"/>
    <x v="0"/>
    <x v="0"/>
    <x v="2"/>
    <x v="0"/>
    <x v="2"/>
    <x v="154"/>
    <x v="155"/>
    <n v="3"/>
  </r>
  <r>
    <x v="629"/>
    <s v="O1724"/>
    <x v="5"/>
    <x v="0"/>
    <x v="0"/>
    <x v="5"/>
    <x v="2"/>
    <x v="23"/>
    <x v="155"/>
    <x v="156"/>
    <n v="2"/>
  </r>
  <r>
    <x v="630"/>
    <s v="O1725"/>
    <x v="5"/>
    <x v="0"/>
    <x v="0"/>
    <x v="5"/>
    <x v="2"/>
    <x v="23"/>
    <x v="155"/>
    <x v="156"/>
    <n v="3"/>
  </r>
  <r>
    <x v="631"/>
    <s v="O1726"/>
    <x v="5"/>
    <x v="0"/>
    <x v="0"/>
    <x v="5"/>
    <x v="2"/>
    <x v="23"/>
    <x v="155"/>
    <x v="156"/>
    <n v="3"/>
  </r>
  <r>
    <x v="632"/>
    <s v="O1727"/>
    <x v="5"/>
    <x v="0"/>
    <x v="0"/>
    <x v="5"/>
    <x v="1"/>
    <x v="10"/>
    <x v="156"/>
    <x v="157"/>
    <n v="3"/>
  </r>
  <r>
    <x v="633"/>
    <s v="O1728"/>
    <x v="5"/>
    <x v="0"/>
    <x v="0"/>
    <x v="5"/>
    <x v="1"/>
    <x v="10"/>
    <x v="156"/>
    <x v="157"/>
    <n v="3"/>
  </r>
  <r>
    <x v="634"/>
    <s v="O1729"/>
    <x v="4"/>
    <x v="0"/>
    <x v="0"/>
    <x v="4"/>
    <x v="2"/>
    <x v="31"/>
    <x v="157"/>
    <x v="158"/>
    <n v="1"/>
  </r>
  <r>
    <x v="635"/>
    <s v="O1730"/>
    <x v="2"/>
    <x v="0"/>
    <x v="0"/>
    <x v="2"/>
    <x v="0"/>
    <x v="2"/>
    <x v="157"/>
    <x v="159"/>
    <n v="3"/>
  </r>
  <r>
    <x v="636"/>
    <s v="O1731"/>
    <x v="2"/>
    <x v="0"/>
    <x v="0"/>
    <x v="2"/>
    <x v="1"/>
    <x v="14"/>
    <x v="157"/>
    <x v="160"/>
    <n v="2"/>
  </r>
  <r>
    <x v="637"/>
    <s v="O1732"/>
    <x v="4"/>
    <x v="0"/>
    <x v="0"/>
    <x v="4"/>
    <x v="2"/>
    <x v="31"/>
    <x v="157"/>
    <x v="158"/>
    <n v="1"/>
  </r>
  <r>
    <x v="638"/>
    <s v="O1733"/>
    <x v="2"/>
    <x v="0"/>
    <x v="0"/>
    <x v="2"/>
    <x v="0"/>
    <x v="2"/>
    <x v="157"/>
    <x v="159"/>
    <n v="3"/>
  </r>
  <r>
    <x v="639"/>
    <s v="O1734"/>
    <x v="2"/>
    <x v="0"/>
    <x v="0"/>
    <x v="2"/>
    <x v="1"/>
    <x v="14"/>
    <x v="157"/>
    <x v="160"/>
    <n v="1"/>
  </r>
  <r>
    <x v="640"/>
    <s v="O1735"/>
    <x v="2"/>
    <x v="0"/>
    <x v="0"/>
    <x v="2"/>
    <x v="2"/>
    <x v="10"/>
    <x v="158"/>
    <x v="158"/>
    <n v="4"/>
  </r>
  <r>
    <x v="641"/>
    <s v="O1736"/>
    <x v="6"/>
    <x v="0"/>
    <x v="3"/>
    <x v="6"/>
    <x v="0"/>
    <x v="22"/>
    <x v="158"/>
    <x v="159"/>
    <n v="3"/>
  </r>
  <r>
    <x v="642"/>
    <s v="O1737"/>
    <x v="2"/>
    <x v="0"/>
    <x v="0"/>
    <x v="2"/>
    <x v="2"/>
    <x v="10"/>
    <x v="158"/>
    <x v="158"/>
    <n v="3"/>
  </r>
  <r>
    <x v="643"/>
    <s v="O1738"/>
    <x v="6"/>
    <x v="0"/>
    <x v="3"/>
    <x v="6"/>
    <x v="0"/>
    <x v="22"/>
    <x v="158"/>
    <x v="159"/>
    <n v="2"/>
  </r>
  <r>
    <x v="644"/>
    <s v="O1739"/>
    <x v="6"/>
    <x v="0"/>
    <x v="3"/>
    <x v="6"/>
    <x v="0"/>
    <x v="22"/>
    <x v="158"/>
    <x v="159"/>
    <n v="1"/>
  </r>
  <r>
    <x v="645"/>
    <s v="O1740"/>
    <x v="2"/>
    <x v="0"/>
    <x v="0"/>
    <x v="2"/>
    <x v="0"/>
    <x v="2"/>
    <x v="159"/>
    <x v="158"/>
    <n v="3"/>
  </r>
  <r>
    <x v="646"/>
    <s v="O1741"/>
    <x v="2"/>
    <x v="0"/>
    <x v="0"/>
    <x v="2"/>
    <x v="0"/>
    <x v="2"/>
    <x v="159"/>
    <x v="158"/>
    <n v="4"/>
  </r>
  <r>
    <x v="647"/>
    <s v="O1742"/>
    <x v="6"/>
    <x v="0"/>
    <x v="0"/>
    <x v="6"/>
    <x v="2"/>
    <x v="34"/>
    <x v="160"/>
    <x v="161"/>
    <n v="3"/>
  </r>
  <r>
    <x v="648"/>
    <s v="O1743"/>
    <x v="6"/>
    <x v="0"/>
    <x v="0"/>
    <x v="6"/>
    <x v="2"/>
    <x v="34"/>
    <x v="160"/>
    <x v="161"/>
    <n v="4"/>
  </r>
  <r>
    <x v="649"/>
    <s v="O1744"/>
    <x v="6"/>
    <x v="0"/>
    <x v="0"/>
    <x v="6"/>
    <x v="2"/>
    <x v="34"/>
    <x v="160"/>
    <x v="161"/>
    <n v="3"/>
  </r>
  <r>
    <x v="650"/>
    <s v="O1745"/>
    <x v="4"/>
    <x v="0"/>
    <x v="0"/>
    <x v="4"/>
    <x v="1"/>
    <x v="7"/>
    <x v="161"/>
    <x v="162"/>
    <n v="3"/>
  </r>
  <r>
    <x v="651"/>
    <s v="O1746"/>
    <x v="2"/>
    <x v="0"/>
    <x v="0"/>
    <x v="2"/>
    <x v="1"/>
    <x v="14"/>
    <x v="161"/>
    <x v="163"/>
    <n v="1"/>
  </r>
  <r>
    <x v="652"/>
    <s v="O1747"/>
    <x v="4"/>
    <x v="0"/>
    <x v="0"/>
    <x v="4"/>
    <x v="1"/>
    <x v="7"/>
    <x v="161"/>
    <x v="162"/>
    <n v="1"/>
  </r>
  <r>
    <x v="653"/>
    <s v="O1748"/>
    <x v="2"/>
    <x v="0"/>
    <x v="0"/>
    <x v="2"/>
    <x v="1"/>
    <x v="14"/>
    <x v="161"/>
    <x v="163"/>
    <n v="1"/>
  </r>
  <r>
    <x v="654"/>
    <s v="O1749"/>
    <x v="2"/>
    <x v="0"/>
    <x v="0"/>
    <x v="2"/>
    <x v="1"/>
    <x v="14"/>
    <x v="161"/>
    <x v="163"/>
    <n v="1"/>
  </r>
  <r>
    <x v="655"/>
    <s v="O1750"/>
    <x v="11"/>
    <x v="1"/>
    <x v="0"/>
    <x v="10"/>
    <x v="1"/>
    <x v="16"/>
    <x v="162"/>
    <x v="164"/>
    <n v="4"/>
  </r>
  <r>
    <x v="656"/>
    <s v="O1751"/>
    <x v="3"/>
    <x v="0"/>
    <x v="3"/>
    <x v="3"/>
    <x v="0"/>
    <x v="13"/>
    <x v="162"/>
    <x v="165"/>
    <n v="2"/>
  </r>
  <r>
    <x v="657"/>
    <s v="O1752"/>
    <x v="5"/>
    <x v="0"/>
    <x v="0"/>
    <x v="5"/>
    <x v="0"/>
    <x v="14"/>
    <x v="162"/>
    <x v="166"/>
    <n v="1"/>
  </r>
  <r>
    <x v="658"/>
    <s v="O1753"/>
    <x v="11"/>
    <x v="1"/>
    <x v="0"/>
    <x v="10"/>
    <x v="1"/>
    <x v="16"/>
    <x v="162"/>
    <x v="164"/>
    <n v="2"/>
  </r>
  <r>
    <x v="659"/>
    <s v="O1754"/>
    <x v="3"/>
    <x v="0"/>
    <x v="3"/>
    <x v="3"/>
    <x v="0"/>
    <x v="13"/>
    <x v="162"/>
    <x v="165"/>
    <n v="4"/>
  </r>
  <r>
    <x v="660"/>
    <s v="O1755"/>
    <x v="5"/>
    <x v="0"/>
    <x v="0"/>
    <x v="5"/>
    <x v="0"/>
    <x v="14"/>
    <x v="162"/>
    <x v="166"/>
    <n v="1"/>
  </r>
  <r>
    <x v="661"/>
    <s v="O1756"/>
    <x v="2"/>
    <x v="0"/>
    <x v="0"/>
    <x v="2"/>
    <x v="2"/>
    <x v="10"/>
    <x v="163"/>
    <x v="162"/>
    <n v="2"/>
  </r>
  <r>
    <x v="662"/>
    <s v="O1757"/>
    <x v="2"/>
    <x v="0"/>
    <x v="0"/>
    <x v="2"/>
    <x v="2"/>
    <x v="10"/>
    <x v="163"/>
    <x v="162"/>
    <n v="1"/>
  </r>
  <r>
    <x v="663"/>
    <s v="O1758"/>
    <x v="2"/>
    <x v="0"/>
    <x v="0"/>
    <x v="2"/>
    <x v="2"/>
    <x v="10"/>
    <x v="163"/>
    <x v="162"/>
    <n v="2"/>
  </r>
  <r>
    <x v="664"/>
    <s v="O1759"/>
    <x v="4"/>
    <x v="0"/>
    <x v="0"/>
    <x v="4"/>
    <x v="2"/>
    <x v="31"/>
    <x v="164"/>
    <x v="167"/>
    <n v="2"/>
  </r>
  <r>
    <x v="665"/>
    <s v="O1760"/>
    <x v="4"/>
    <x v="0"/>
    <x v="0"/>
    <x v="4"/>
    <x v="2"/>
    <x v="31"/>
    <x v="164"/>
    <x v="167"/>
    <n v="3"/>
  </r>
  <r>
    <x v="666"/>
    <s v="O1761"/>
    <x v="6"/>
    <x v="0"/>
    <x v="3"/>
    <x v="6"/>
    <x v="0"/>
    <x v="22"/>
    <x v="165"/>
    <x v="168"/>
    <n v="3"/>
  </r>
  <r>
    <x v="667"/>
    <s v="O1762"/>
    <x v="7"/>
    <x v="1"/>
    <x v="2"/>
    <x v="7"/>
    <x v="0"/>
    <x v="46"/>
    <x v="165"/>
    <x v="164"/>
    <n v="1"/>
  </r>
  <r>
    <x v="668"/>
    <s v="O1763"/>
    <x v="6"/>
    <x v="0"/>
    <x v="3"/>
    <x v="6"/>
    <x v="0"/>
    <x v="22"/>
    <x v="165"/>
    <x v="168"/>
    <n v="2"/>
  </r>
  <r>
    <x v="669"/>
    <s v="O1764"/>
    <x v="7"/>
    <x v="1"/>
    <x v="2"/>
    <x v="7"/>
    <x v="0"/>
    <x v="46"/>
    <x v="165"/>
    <x v="164"/>
    <n v="2"/>
  </r>
  <r>
    <x v="670"/>
    <s v="O1765"/>
    <x v="7"/>
    <x v="1"/>
    <x v="2"/>
    <x v="7"/>
    <x v="0"/>
    <x v="46"/>
    <x v="165"/>
    <x v="164"/>
    <n v="4"/>
  </r>
  <r>
    <x v="671"/>
    <s v="O1766"/>
    <x v="2"/>
    <x v="0"/>
    <x v="0"/>
    <x v="2"/>
    <x v="0"/>
    <x v="2"/>
    <x v="166"/>
    <x v="168"/>
    <n v="3"/>
  </r>
  <r>
    <x v="672"/>
    <s v="O1767"/>
    <x v="2"/>
    <x v="0"/>
    <x v="0"/>
    <x v="2"/>
    <x v="0"/>
    <x v="2"/>
    <x v="166"/>
    <x v="168"/>
    <n v="3"/>
  </r>
  <r>
    <x v="673"/>
    <s v="O1768"/>
    <x v="2"/>
    <x v="0"/>
    <x v="0"/>
    <x v="2"/>
    <x v="0"/>
    <x v="2"/>
    <x v="166"/>
    <x v="168"/>
    <n v="1"/>
  </r>
  <r>
    <x v="674"/>
    <s v="O1769"/>
    <x v="2"/>
    <x v="0"/>
    <x v="0"/>
    <x v="2"/>
    <x v="2"/>
    <x v="10"/>
    <x v="167"/>
    <x v="168"/>
    <n v="3"/>
  </r>
  <r>
    <x v="675"/>
    <s v="O1770"/>
    <x v="2"/>
    <x v="0"/>
    <x v="0"/>
    <x v="2"/>
    <x v="2"/>
    <x v="10"/>
    <x v="167"/>
    <x v="168"/>
    <n v="4"/>
  </r>
  <r>
    <x v="676"/>
    <s v="O1771"/>
    <x v="2"/>
    <x v="0"/>
    <x v="3"/>
    <x v="2"/>
    <x v="0"/>
    <x v="5"/>
    <x v="168"/>
    <x v="169"/>
    <n v="2"/>
  </r>
  <r>
    <x v="677"/>
    <s v="O1772"/>
    <x v="2"/>
    <x v="0"/>
    <x v="3"/>
    <x v="2"/>
    <x v="0"/>
    <x v="5"/>
    <x v="168"/>
    <x v="169"/>
    <n v="3"/>
  </r>
  <r>
    <x v="678"/>
    <s v="O1773"/>
    <x v="3"/>
    <x v="0"/>
    <x v="3"/>
    <x v="3"/>
    <x v="0"/>
    <x v="13"/>
    <x v="169"/>
    <x v="170"/>
    <n v="4"/>
  </r>
  <r>
    <x v="679"/>
    <s v="O1774"/>
    <x v="4"/>
    <x v="0"/>
    <x v="1"/>
    <x v="4"/>
    <x v="2"/>
    <x v="47"/>
    <x v="169"/>
    <x v="170"/>
    <n v="2"/>
  </r>
  <r>
    <x v="680"/>
    <s v="O1775"/>
    <x v="2"/>
    <x v="0"/>
    <x v="2"/>
    <x v="2"/>
    <x v="0"/>
    <x v="20"/>
    <x v="169"/>
    <x v="171"/>
    <n v="1"/>
  </r>
  <r>
    <x v="681"/>
    <s v="O1776"/>
    <x v="3"/>
    <x v="0"/>
    <x v="3"/>
    <x v="3"/>
    <x v="0"/>
    <x v="13"/>
    <x v="169"/>
    <x v="170"/>
    <n v="2"/>
  </r>
  <r>
    <x v="682"/>
    <s v="O1777"/>
    <x v="4"/>
    <x v="0"/>
    <x v="1"/>
    <x v="4"/>
    <x v="2"/>
    <x v="47"/>
    <x v="169"/>
    <x v="170"/>
    <n v="4"/>
  </r>
  <r>
    <x v="683"/>
    <s v="O1778"/>
    <x v="2"/>
    <x v="0"/>
    <x v="2"/>
    <x v="2"/>
    <x v="0"/>
    <x v="20"/>
    <x v="169"/>
    <x v="171"/>
    <n v="1"/>
  </r>
  <r>
    <x v="684"/>
    <s v="O1779"/>
    <x v="4"/>
    <x v="0"/>
    <x v="1"/>
    <x v="4"/>
    <x v="2"/>
    <x v="47"/>
    <x v="169"/>
    <x v="170"/>
    <n v="4"/>
  </r>
  <r>
    <x v="685"/>
    <s v="O1780"/>
    <x v="2"/>
    <x v="0"/>
    <x v="2"/>
    <x v="2"/>
    <x v="0"/>
    <x v="20"/>
    <x v="169"/>
    <x v="171"/>
    <n v="3"/>
  </r>
  <r>
    <x v="686"/>
    <s v="O1781"/>
    <x v="2"/>
    <x v="0"/>
    <x v="0"/>
    <x v="2"/>
    <x v="0"/>
    <x v="2"/>
    <x v="170"/>
    <x v="172"/>
    <n v="2"/>
  </r>
  <r>
    <x v="687"/>
    <s v="O1782"/>
    <x v="2"/>
    <x v="0"/>
    <x v="0"/>
    <x v="2"/>
    <x v="0"/>
    <x v="2"/>
    <x v="170"/>
    <x v="172"/>
    <n v="3"/>
  </r>
  <r>
    <x v="688"/>
    <s v="O1783"/>
    <x v="2"/>
    <x v="0"/>
    <x v="1"/>
    <x v="2"/>
    <x v="0"/>
    <x v="3"/>
    <x v="171"/>
    <x v="173"/>
    <n v="4"/>
  </r>
  <r>
    <x v="689"/>
    <s v="O1784"/>
    <x v="4"/>
    <x v="0"/>
    <x v="0"/>
    <x v="4"/>
    <x v="0"/>
    <x v="9"/>
    <x v="171"/>
    <x v="174"/>
    <n v="1"/>
  </r>
  <r>
    <x v="690"/>
    <s v="O1785"/>
    <x v="3"/>
    <x v="0"/>
    <x v="0"/>
    <x v="3"/>
    <x v="0"/>
    <x v="12"/>
    <x v="171"/>
    <x v="175"/>
    <n v="3"/>
  </r>
  <r>
    <x v="691"/>
    <s v="O1786"/>
    <x v="2"/>
    <x v="0"/>
    <x v="1"/>
    <x v="2"/>
    <x v="0"/>
    <x v="3"/>
    <x v="171"/>
    <x v="173"/>
    <n v="1"/>
  </r>
  <r>
    <x v="692"/>
    <s v="O1787"/>
    <x v="4"/>
    <x v="0"/>
    <x v="0"/>
    <x v="4"/>
    <x v="0"/>
    <x v="9"/>
    <x v="171"/>
    <x v="174"/>
    <n v="4"/>
  </r>
  <r>
    <x v="693"/>
    <s v="O1788"/>
    <x v="3"/>
    <x v="0"/>
    <x v="0"/>
    <x v="3"/>
    <x v="0"/>
    <x v="12"/>
    <x v="171"/>
    <x v="175"/>
    <n v="2"/>
  </r>
  <r>
    <x v="694"/>
    <s v="O1789"/>
    <x v="3"/>
    <x v="0"/>
    <x v="0"/>
    <x v="3"/>
    <x v="0"/>
    <x v="12"/>
    <x v="171"/>
    <x v="175"/>
    <n v="3"/>
  </r>
  <r>
    <x v="695"/>
    <s v="O1790"/>
    <x v="2"/>
    <x v="0"/>
    <x v="1"/>
    <x v="2"/>
    <x v="0"/>
    <x v="3"/>
    <x v="172"/>
    <x v="176"/>
    <n v="1"/>
  </r>
  <r>
    <x v="696"/>
    <s v="O1791"/>
    <x v="2"/>
    <x v="0"/>
    <x v="1"/>
    <x v="2"/>
    <x v="0"/>
    <x v="3"/>
    <x v="172"/>
    <x v="176"/>
    <n v="3"/>
  </r>
  <r>
    <x v="697"/>
    <s v="O1792"/>
    <x v="2"/>
    <x v="0"/>
    <x v="0"/>
    <x v="2"/>
    <x v="0"/>
    <x v="2"/>
    <x v="173"/>
    <x v="177"/>
    <n v="2"/>
  </r>
  <r>
    <x v="698"/>
    <s v="O1793"/>
    <x v="3"/>
    <x v="0"/>
    <x v="0"/>
    <x v="3"/>
    <x v="0"/>
    <x v="12"/>
    <x v="173"/>
    <x v="175"/>
    <n v="4"/>
  </r>
  <r>
    <x v="699"/>
    <s v="O1794"/>
    <x v="2"/>
    <x v="0"/>
    <x v="0"/>
    <x v="2"/>
    <x v="0"/>
    <x v="2"/>
    <x v="173"/>
    <x v="177"/>
    <n v="3"/>
  </r>
  <r>
    <x v="700"/>
    <s v="O1795"/>
    <x v="3"/>
    <x v="0"/>
    <x v="0"/>
    <x v="3"/>
    <x v="0"/>
    <x v="12"/>
    <x v="173"/>
    <x v="175"/>
    <n v="1"/>
  </r>
  <r>
    <x v="701"/>
    <s v="O1796"/>
    <x v="3"/>
    <x v="0"/>
    <x v="0"/>
    <x v="3"/>
    <x v="0"/>
    <x v="12"/>
    <x v="173"/>
    <x v="175"/>
    <n v="4"/>
  </r>
  <r>
    <x v="702"/>
    <s v="O1797"/>
    <x v="4"/>
    <x v="0"/>
    <x v="0"/>
    <x v="4"/>
    <x v="0"/>
    <x v="9"/>
    <x v="174"/>
    <x v="178"/>
    <n v="4"/>
  </r>
  <r>
    <x v="703"/>
    <s v="O1798"/>
    <x v="2"/>
    <x v="0"/>
    <x v="0"/>
    <x v="2"/>
    <x v="0"/>
    <x v="2"/>
    <x v="174"/>
    <x v="179"/>
    <n v="3"/>
  </r>
  <r>
    <x v="704"/>
    <s v="O1799"/>
    <x v="4"/>
    <x v="0"/>
    <x v="0"/>
    <x v="4"/>
    <x v="0"/>
    <x v="9"/>
    <x v="174"/>
    <x v="178"/>
    <n v="1"/>
  </r>
  <r>
    <x v="705"/>
    <s v="O1800"/>
    <x v="2"/>
    <x v="0"/>
    <x v="0"/>
    <x v="2"/>
    <x v="0"/>
    <x v="2"/>
    <x v="174"/>
    <x v="179"/>
    <n v="3"/>
  </r>
  <r>
    <x v="706"/>
    <s v="O1801"/>
    <x v="2"/>
    <x v="0"/>
    <x v="0"/>
    <x v="2"/>
    <x v="0"/>
    <x v="2"/>
    <x v="174"/>
    <x v="179"/>
    <n v="3"/>
  </r>
  <r>
    <x v="707"/>
    <s v="O1802"/>
    <x v="3"/>
    <x v="0"/>
    <x v="0"/>
    <x v="3"/>
    <x v="1"/>
    <x v="2"/>
    <x v="175"/>
    <x v="180"/>
    <n v="3"/>
  </r>
  <r>
    <x v="708"/>
    <s v="O1803"/>
    <x v="3"/>
    <x v="0"/>
    <x v="0"/>
    <x v="3"/>
    <x v="2"/>
    <x v="14"/>
    <x v="175"/>
    <x v="181"/>
    <n v="2"/>
  </r>
  <r>
    <x v="709"/>
    <s v="O1804"/>
    <x v="3"/>
    <x v="0"/>
    <x v="0"/>
    <x v="3"/>
    <x v="1"/>
    <x v="2"/>
    <x v="175"/>
    <x v="180"/>
    <n v="1"/>
  </r>
  <r>
    <x v="710"/>
    <s v="O1805"/>
    <x v="3"/>
    <x v="0"/>
    <x v="0"/>
    <x v="3"/>
    <x v="2"/>
    <x v="14"/>
    <x v="175"/>
    <x v="181"/>
    <n v="2"/>
  </r>
  <r>
    <x v="711"/>
    <s v="O1806"/>
    <x v="2"/>
    <x v="0"/>
    <x v="0"/>
    <x v="2"/>
    <x v="0"/>
    <x v="2"/>
    <x v="176"/>
    <x v="178"/>
    <n v="1"/>
  </r>
  <r>
    <x v="712"/>
    <s v="O1807"/>
    <x v="2"/>
    <x v="0"/>
    <x v="0"/>
    <x v="2"/>
    <x v="0"/>
    <x v="2"/>
    <x v="176"/>
    <x v="178"/>
    <n v="4"/>
  </r>
  <r>
    <x v="713"/>
    <s v="O1808"/>
    <x v="2"/>
    <x v="0"/>
    <x v="0"/>
    <x v="2"/>
    <x v="0"/>
    <x v="2"/>
    <x v="176"/>
    <x v="178"/>
    <n v="4"/>
  </r>
  <r>
    <x v="714"/>
    <s v="O1809"/>
    <x v="2"/>
    <x v="0"/>
    <x v="0"/>
    <x v="2"/>
    <x v="2"/>
    <x v="10"/>
    <x v="177"/>
    <x v="180"/>
    <n v="4"/>
  </r>
  <r>
    <x v="715"/>
    <s v="O1810"/>
    <x v="2"/>
    <x v="0"/>
    <x v="0"/>
    <x v="2"/>
    <x v="0"/>
    <x v="2"/>
    <x v="177"/>
    <x v="182"/>
    <n v="4"/>
  </r>
  <r>
    <x v="716"/>
    <s v="O1811"/>
    <x v="2"/>
    <x v="0"/>
    <x v="0"/>
    <x v="2"/>
    <x v="2"/>
    <x v="10"/>
    <x v="177"/>
    <x v="180"/>
    <n v="3"/>
  </r>
  <r>
    <x v="717"/>
    <s v="O1812"/>
    <x v="2"/>
    <x v="0"/>
    <x v="0"/>
    <x v="2"/>
    <x v="0"/>
    <x v="2"/>
    <x v="177"/>
    <x v="182"/>
    <n v="1"/>
  </r>
  <r>
    <x v="718"/>
    <s v="O1813"/>
    <x v="2"/>
    <x v="0"/>
    <x v="0"/>
    <x v="2"/>
    <x v="1"/>
    <x v="14"/>
    <x v="178"/>
    <x v="179"/>
    <n v="2"/>
  </r>
  <r>
    <x v="719"/>
    <s v="O1814"/>
    <x v="9"/>
    <x v="0"/>
    <x v="2"/>
    <x v="9"/>
    <x v="0"/>
    <x v="48"/>
    <x v="178"/>
    <x v="179"/>
    <n v="1"/>
  </r>
  <r>
    <x v="720"/>
    <s v="O1815"/>
    <x v="2"/>
    <x v="0"/>
    <x v="0"/>
    <x v="2"/>
    <x v="1"/>
    <x v="14"/>
    <x v="178"/>
    <x v="179"/>
    <n v="2"/>
  </r>
  <r>
    <x v="721"/>
    <s v="O1816"/>
    <x v="9"/>
    <x v="0"/>
    <x v="2"/>
    <x v="9"/>
    <x v="0"/>
    <x v="48"/>
    <x v="178"/>
    <x v="179"/>
    <n v="3"/>
  </r>
  <r>
    <x v="722"/>
    <s v="O1817"/>
    <x v="2"/>
    <x v="0"/>
    <x v="0"/>
    <x v="2"/>
    <x v="1"/>
    <x v="14"/>
    <x v="178"/>
    <x v="179"/>
    <n v="2"/>
  </r>
  <r>
    <x v="723"/>
    <s v="O1818"/>
    <x v="10"/>
    <x v="1"/>
    <x v="0"/>
    <x v="8"/>
    <x v="0"/>
    <x v="18"/>
    <x v="179"/>
    <x v="183"/>
    <n v="2"/>
  </r>
  <r>
    <x v="724"/>
    <s v="O1819"/>
    <x v="3"/>
    <x v="0"/>
    <x v="3"/>
    <x v="3"/>
    <x v="0"/>
    <x v="13"/>
    <x v="179"/>
    <x v="184"/>
    <n v="4"/>
  </r>
  <r>
    <x v="725"/>
    <s v="O1820"/>
    <x v="10"/>
    <x v="1"/>
    <x v="0"/>
    <x v="8"/>
    <x v="0"/>
    <x v="18"/>
    <x v="179"/>
    <x v="183"/>
    <n v="3"/>
  </r>
  <r>
    <x v="726"/>
    <s v="O1821"/>
    <x v="3"/>
    <x v="0"/>
    <x v="3"/>
    <x v="3"/>
    <x v="0"/>
    <x v="13"/>
    <x v="179"/>
    <x v="184"/>
    <n v="3"/>
  </r>
  <r>
    <x v="727"/>
    <s v="O1822"/>
    <x v="3"/>
    <x v="0"/>
    <x v="3"/>
    <x v="3"/>
    <x v="0"/>
    <x v="13"/>
    <x v="179"/>
    <x v="184"/>
    <n v="3"/>
  </r>
  <r>
    <x v="728"/>
    <s v="O1823"/>
    <x v="4"/>
    <x v="0"/>
    <x v="2"/>
    <x v="4"/>
    <x v="0"/>
    <x v="44"/>
    <x v="180"/>
    <x v="185"/>
    <n v="1"/>
  </r>
  <r>
    <x v="729"/>
    <s v="O1824"/>
    <x v="3"/>
    <x v="0"/>
    <x v="2"/>
    <x v="3"/>
    <x v="0"/>
    <x v="32"/>
    <x v="180"/>
    <x v="184"/>
    <n v="3"/>
  </r>
  <r>
    <x v="730"/>
    <s v="O1825"/>
    <x v="3"/>
    <x v="0"/>
    <x v="0"/>
    <x v="3"/>
    <x v="0"/>
    <x v="12"/>
    <x v="180"/>
    <x v="184"/>
    <n v="2"/>
  </r>
  <r>
    <x v="731"/>
    <s v="O1826"/>
    <x v="4"/>
    <x v="0"/>
    <x v="2"/>
    <x v="4"/>
    <x v="0"/>
    <x v="44"/>
    <x v="180"/>
    <x v="185"/>
    <n v="3"/>
  </r>
  <r>
    <x v="732"/>
    <s v="O1827"/>
    <x v="3"/>
    <x v="0"/>
    <x v="2"/>
    <x v="3"/>
    <x v="0"/>
    <x v="32"/>
    <x v="180"/>
    <x v="184"/>
    <n v="1"/>
  </r>
  <r>
    <x v="733"/>
    <s v="O1828"/>
    <x v="3"/>
    <x v="0"/>
    <x v="0"/>
    <x v="3"/>
    <x v="0"/>
    <x v="12"/>
    <x v="180"/>
    <x v="184"/>
    <n v="1"/>
  </r>
  <r>
    <x v="734"/>
    <s v="O1829"/>
    <x v="3"/>
    <x v="0"/>
    <x v="0"/>
    <x v="3"/>
    <x v="0"/>
    <x v="12"/>
    <x v="180"/>
    <x v="184"/>
    <n v="3"/>
  </r>
  <r>
    <x v="735"/>
    <s v="O1830"/>
    <x v="9"/>
    <x v="0"/>
    <x v="0"/>
    <x v="9"/>
    <x v="0"/>
    <x v="16"/>
    <x v="181"/>
    <x v="185"/>
    <n v="4"/>
  </r>
  <r>
    <x v="736"/>
    <s v="O1831"/>
    <x v="4"/>
    <x v="0"/>
    <x v="0"/>
    <x v="4"/>
    <x v="0"/>
    <x v="9"/>
    <x v="181"/>
    <x v="186"/>
    <n v="2"/>
  </r>
  <r>
    <x v="737"/>
    <s v="O1832"/>
    <x v="6"/>
    <x v="0"/>
    <x v="0"/>
    <x v="6"/>
    <x v="0"/>
    <x v="26"/>
    <x v="181"/>
    <x v="185"/>
    <n v="1"/>
  </r>
  <r>
    <x v="738"/>
    <s v="O1833"/>
    <x v="9"/>
    <x v="0"/>
    <x v="0"/>
    <x v="9"/>
    <x v="0"/>
    <x v="16"/>
    <x v="181"/>
    <x v="185"/>
    <n v="3"/>
  </r>
  <r>
    <x v="739"/>
    <s v="O1834"/>
    <x v="4"/>
    <x v="0"/>
    <x v="0"/>
    <x v="4"/>
    <x v="0"/>
    <x v="9"/>
    <x v="181"/>
    <x v="186"/>
    <n v="3"/>
  </r>
  <r>
    <x v="740"/>
    <s v="O1835"/>
    <x v="6"/>
    <x v="0"/>
    <x v="0"/>
    <x v="6"/>
    <x v="0"/>
    <x v="26"/>
    <x v="181"/>
    <x v="185"/>
    <n v="4"/>
  </r>
  <r>
    <x v="741"/>
    <s v="O1836"/>
    <x v="4"/>
    <x v="0"/>
    <x v="0"/>
    <x v="4"/>
    <x v="0"/>
    <x v="9"/>
    <x v="181"/>
    <x v="186"/>
    <n v="1"/>
  </r>
  <r>
    <x v="742"/>
    <s v="O1837"/>
    <x v="6"/>
    <x v="0"/>
    <x v="0"/>
    <x v="6"/>
    <x v="0"/>
    <x v="26"/>
    <x v="181"/>
    <x v="185"/>
    <n v="2"/>
  </r>
  <r>
    <x v="743"/>
    <s v="O1838"/>
    <x v="2"/>
    <x v="0"/>
    <x v="3"/>
    <x v="2"/>
    <x v="0"/>
    <x v="5"/>
    <x v="182"/>
    <x v="185"/>
    <n v="1"/>
  </r>
  <r>
    <x v="744"/>
    <s v="O1839"/>
    <x v="2"/>
    <x v="0"/>
    <x v="3"/>
    <x v="2"/>
    <x v="0"/>
    <x v="5"/>
    <x v="182"/>
    <x v="185"/>
    <n v="4"/>
  </r>
  <r>
    <x v="745"/>
    <s v="O1840"/>
    <x v="2"/>
    <x v="0"/>
    <x v="0"/>
    <x v="2"/>
    <x v="1"/>
    <x v="14"/>
    <x v="183"/>
    <x v="185"/>
    <n v="1"/>
  </r>
  <r>
    <x v="746"/>
    <s v="O1841"/>
    <x v="3"/>
    <x v="0"/>
    <x v="0"/>
    <x v="3"/>
    <x v="2"/>
    <x v="14"/>
    <x v="183"/>
    <x v="187"/>
    <n v="3"/>
  </r>
  <r>
    <x v="747"/>
    <s v="O1842"/>
    <x v="2"/>
    <x v="0"/>
    <x v="0"/>
    <x v="2"/>
    <x v="1"/>
    <x v="14"/>
    <x v="183"/>
    <x v="185"/>
    <n v="3"/>
  </r>
  <r>
    <x v="748"/>
    <s v="O1843"/>
    <x v="3"/>
    <x v="0"/>
    <x v="0"/>
    <x v="3"/>
    <x v="2"/>
    <x v="14"/>
    <x v="183"/>
    <x v="187"/>
    <n v="1"/>
  </r>
  <r>
    <x v="749"/>
    <s v="O1844"/>
    <x v="3"/>
    <x v="0"/>
    <x v="0"/>
    <x v="3"/>
    <x v="2"/>
    <x v="14"/>
    <x v="183"/>
    <x v="187"/>
    <n v="2"/>
  </r>
  <r>
    <x v="750"/>
    <s v="O1845"/>
    <x v="2"/>
    <x v="0"/>
    <x v="3"/>
    <x v="2"/>
    <x v="1"/>
    <x v="15"/>
    <x v="184"/>
    <x v="186"/>
    <n v="2"/>
  </r>
  <r>
    <x v="751"/>
    <s v="O1846"/>
    <x v="2"/>
    <x v="0"/>
    <x v="3"/>
    <x v="2"/>
    <x v="1"/>
    <x v="15"/>
    <x v="184"/>
    <x v="186"/>
    <n v="4"/>
  </r>
  <r>
    <x v="752"/>
    <s v="O1847"/>
    <x v="2"/>
    <x v="0"/>
    <x v="0"/>
    <x v="2"/>
    <x v="1"/>
    <x v="14"/>
    <x v="185"/>
    <x v="188"/>
    <n v="2"/>
  </r>
  <r>
    <x v="753"/>
    <s v="O1848"/>
    <x v="2"/>
    <x v="0"/>
    <x v="0"/>
    <x v="2"/>
    <x v="0"/>
    <x v="2"/>
    <x v="185"/>
    <x v="189"/>
    <n v="2"/>
  </r>
  <r>
    <x v="754"/>
    <s v="O1849"/>
    <x v="3"/>
    <x v="0"/>
    <x v="0"/>
    <x v="3"/>
    <x v="0"/>
    <x v="12"/>
    <x v="185"/>
    <x v="190"/>
    <n v="2"/>
  </r>
  <r>
    <x v="755"/>
    <s v="O1850"/>
    <x v="2"/>
    <x v="0"/>
    <x v="0"/>
    <x v="2"/>
    <x v="1"/>
    <x v="14"/>
    <x v="185"/>
    <x v="189"/>
    <n v="4"/>
  </r>
  <r>
    <x v="756"/>
    <s v="O1851"/>
    <x v="2"/>
    <x v="0"/>
    <x v="0"/>
    <x v="2"/>
    <x v="1"/>
    <x v="14"/>
    <x v="185"/>
    <x v="188"/>
    <n v="1"/>
  </r>
  <r>
    <x v="757"/>
    <s v="O1852"/>
    <x v="2"/>
    <x v="0"/>
    <x v="0"/>
    <x v="2"/>
    <x v="0"/>
    <x v="2"/>
    <x v="185"/>
    <x v="189"/>
    <n v="3"/>
  </r>
  <r>
    <x v="758"/>
    <s v="O1853"/>
    <x v="3"/>
    <x v="0"/>
    <x v="0"/>
    <x v="3"/>
    <x v="0"/>
    <x v="12"/>
    <x v="185"/>
    <x v="190"/>
    <n v="1"/>
  </r>
  <r>
    <x v="759"/>
    <s v="O1854"/>
    <x v="2"/>
    <x v="0"/>
    <x v="0"/>
    <x v="2"/>
    <x v="1"/>
    <x v="14"/>
    <x v="185"/>
    <x v="189"/>
    <n v="3"/>
  </r>
  <r>
    <x v="760"/>
    <s v="O1855"/>
    <x v="3"/>
    <x v="0"/>
    <x v="0"/>
    <x v="3"/>
    <x v="0"/>
    <x v="12"/>
    <x v="186"/>
    <x v="191"/>
    <n v="4"/>
  </r>
  <r>
    <x v="761"/>
    <s v="O1856"/>
    <x v="3"/>
    <x v="0"/>
    <x v="0"/>
    <x v="3"/>
    <x v="0"/>
    <x v="12"/>
    <x v="186"/>
    <x v="192"/>
    <n v="3"/>
  </r>
  <r>
    <x v="762"/>
    <s v="O1857"/>
    <x v="3"/>
    <x v="0"/>
    <x v="0"/>
    <x v="3"/>
    <x v="0"/>
    <x v="12"/>
    <x v="186"/>
    <x v="191"/>
    <n v="3"/>
  </r>
  <r>
    <x v="763"/>
    <s v="O1858"/>
    <x v="3"/>
    <x v="0"/>
    <x v="0"/>
    <x v="3"/>
    <x v="0"/>
    <x v="12"/>
    <x v="186"/>
    <x v="192"/>
    <n v="3"/>
  </r>
  <r>
    <x v="764"/>
    <s v="O1859"/>
    <x v="5"/>
    <x v="0"/>
    <x v="0"/>
    <x v="5"/>
    <x v="0"/>
    <x v="14"/>
    <x v="187"/>
    <x v="190"/>
    <n v="3"/>
  </r>
  <r>
    <x v="765"/>
    <s v="O1860"/>
    <x v="2"/>
    <x v="0"/>
    <x v="0"/>
    <x v="2"/>
    <x v="0"/>
    <x v="2"/>
    <x v="187"/>
    <x v="192"/>
    <n v="3"/>
  </r>
  <r>
    <x v="766"/>
    <s v="O1861"/>
    <x v="5"/>
    <x v="0"/>
    <x v="0"/>
    <x v="5"/>
    <x v="0"/>
    <x v="14"/>
    <x v="187"/>
    <x v="190"/>
    <n v="2"/>
  </r>
  <r>
    <x v="767"/>
    <s v="O1862"/>
    <x v="2"/>
    <x v="0"/>
    <x v="0"/>
    <x v="2"/>
    <x v="0"/>
    <x v="2"/>
    <x v="187"/>
    <x v="192"/>
    <n v="2"/>
  </r>
  <r>
    <x v="768"/>
    <s v="O1863"/>
    <x v="5"/>
    <x v="0"/>
    <x v="2"/>
    <x v="5"/>
    <x v="1"/>
    <x v="6"/>
    <x v="188"/>
    <x v="191"/>
    <n v="4"/>
  </r>
  <r>
    <x v="769"/>
    <s v="O1864"/>
    <x v="3"/>
    <x v="0"/>
    <x v="0"/>
    <x v="3"/>
    <x v="1"/>
    <x v="2"/>
    <x v="188"/>
    <x v="189"/>
    <n v="3"/>
  </r>
  <r>
    <x v="770"/>
    <s v="O1865"/>
    <x v="5"/>
    <x v="0"/>
    <x v="2"/>
    <x v="5"/>
    <x v="1"/>
    <x v="6"/>
    <x v="188"/>
    <x v="191"/>
    <n v="1"/>
  </r>
  <r>
    <x v="771"/>
    <s v="O1866"/>
    <x v="3"/>
    <x v="0"/>
    <x v="0"/>
    <x v="3"/>
    <x v="1"/>
    <x v="2"/>
    <x v="188"/>
    <x v="189"/>
    <n v="1"/>
  </r>
  <r>
    <x v="772"/>
    <s v="O1867"/>
    <x v="2"/>
    <x v="0"/>
    <x v="3"/>
    <x v="2"/>
    <x v="0"/>
    <x v="5"/>
    <x v="189"/>
    <x v="191"/>
    <n v="4"/>
  </r>
  <r>
    <x v="773"/>
    <s v="O1868"/>
    <x v="2"/>
    <x v="0"/>
    <x v="3"/>
    <x v="2"/>
    <x v="0"/>
    <x v="5"/>
    <x v="189"/>
    <x v="191"/>
    <n v="3"/>
  </r>
  <r>
    <x v="774"/>
    <s v="O1869"/>
    <x v="2"/>
    <x v="0"/>
    <x v="3"/>
    <x v="2"/>
    <x v="0"/>
    <x v="5"/>
    <x v="189"/>
    <x v="191"/>
    <n v="1"/>
  </r>
  <r>
    <x v="775"/>
    <s v="O1870"/>
    <x v="1"/>
    <x v="0"/>
    <x v="0"/>
    <x v="1"/>
    <x v="1"/>
    <x v="26"/>
    <x v="190"/>
    <x v="193"/>
    <n v="2"/>
  </r>
  <r>
    <x v="776"/>
    <s v="O1871"/>
    <x v="2"/>
    <x v="0"/>
    <x v="0"/>
    <x v="2"/>
    <x v="1"/>
    <x v="14"/>
    <x v="190"/>
    <x v="194"/>
    <n v="3"/>
  </r>
  <r>
    <x v="777"/>
    <s v="O1872"/>
    <x v="1"/>
    <x v="0"/>
    <x v="0"/>
    <x v="1"/>
    <x v="1"/>
    <x v="26"/>
    <x v="190"/>
    <x v="193"/>
    <n v="4"/>
  </r>
  <r>
    <x v="778"/>
    <s v="O1873"/>
    <x v="2"/>
    <x v="0"/>
    <x v="0"/>
    <x v="2"/>
    <x v="1"/>
    <x v="14"/>
    <x v="190"/>
    <x v="194"/>
    <n v="2"/>
  </r>
  <r>
    <x v="779"/>
    <s v="O1874"/>
    <x v="2"/>
    <x v="0"/>
    <x v="0"/>
    <x v="2"/>
    <x v="1"/>
    <x v="14"/>
    <x v="190"/>
    <x v="194"/>
    <n v="4"/>
  </r>
  <r>
    <x v="780"/>
    <s v="O1875"/>
    <x v="5"/>
    <x v="0"/>
    <x v="0"/>
    <x v="5"/>
    <x v="0"/>
    <x v="14"/>
    <x v="191"/>
    <x v="195"/>
    <n v="1"/>
  </r>
  <r>
    <x v="781"/>
    <s v="O1876"/>
    <x v="5"/>
    <x v="0"/>
    <x v="0"/>
    <x v="5"/>
    <x v="0"/>
    <x v="14"/>
    <x v="191"/>
    <x v="195"/>
    <n v="1"/>
  </r>
  <r>
    <x v="782"/>
    <s v="O1877"/>
    <x v="5"/>
    <x v="0"/>
    <x v="0"/>
    <x v="5"/>
    <x v="0"/>
    <x v="14"/>
    <x v="191"/>
    <x v="195"/>
    <n v="2"/>
  </r>
  <r>
    <x v="783"/>
    <s v="O1878"/>
    <x v="0"/>
    <x v="0"/>
    <x v="0"/>
    <x v="0"/>
    <x v="2"/>
    <x v="39"/>
    <x v="192"/>
    <x v="196"/>
    <n v="4"/>
  </r>
  <r>
    <x v="784"/>
    <s v="O1879"/>
    <x v="2"/>
    <x v="0"/>
    <x v="0"/>
    <x v="2"/>
    <x v="0"/>
    <x v="2"/>
    <x v="192"/>
    <x v="197"/>
    <n v="4"/>
  </r>
  <r>
    <x v="785"/>
    <s v="O1880"/>
    <x v="0"/>
    <x v="0"/>
    <x v="0"/>
    <x v="0"/>
    <x v="2"/>
    <x v="39"/>
    <x v="192"/>
    <x v="196"/>
    <n v="4"/>
  </r>
  <r>
    <x v="786"/>
    <s v="O1881"/>
    <x v="2"/>
    <x v="0"/>
    <x v="0"/>
    <x v="2"/>
    <x v="0"/>
    <x v="2"/>
    <x v="192"/>
    <x v="197"/>
    <n v="4"/>
  </r>
  <r>
    <x v="787"/>
    <s v="O1882"/>
    <x v="2"/>
    <x v="0"/>
    <x v="0"/>
    <x v="2"/>
    <x v="0"/>
    <x v="2"/>
    <x v="193"/>
    <x v="198"/>
    <n v="1"/>
  </r>
  <r>
    <x v="788"/>
    <s v="O1883"/>
    <x v="3"/>
    <x v="0"/>
    <x v="0"/>
    <x v="3"/>
    <x v="0"/>
    <x v="12"/>
    <x v="193"/>
    <x v="199"/>
    <n v="2"/>
  </r>
  <r>
    <x v="789"/>
    <s v="O1884"/>
    <x v="5"/>
    <x v="0"/>
    <x v="0"/>
    <x v="5"/>
    <x v="1"/>
    <x v="10"/>
    <x v="193"/>
    <x v="200"/>
    <n v="3"/>
  </r>
  <r>
    <x v="790"/>
    <s v="O1885"/>
    <x v="2"/>
    <x v="0"/>
    <x v="0"/>
    <x v="2"/>
    <x v="0"/>
    <x v="2"/>
    <x v="193"/>
    <x v="198"/>
    <n v="3"/>
  </r>
  <r>
    <x v="791"/>
    <s v="O1886"/>
    <x v="3"/>
    <x v="0"/>
    <x v="0"/>
    <x v="3"/>
    <x v="0"/>
    <x v="12"/>
    <x v="193"/>
    <x v="199"/>
    <n v="1"/>
  </r>
  <r>
    <x v="792"/>
    <s v="O1887"/>
    <x v="5"/>
    <x v="0"/>
    <x v="0"/>
    <x v="5"/>
    <x v="1"/>
    <x v="10"/>
    <x v="193"/>
    <x v="200"/>
    <n v="2"/>
  </r>
  <r>
    <x v="793"/>
    <s v="O1888"/>
    <x v="2"/>
    <x v="0"/>
    <x v="0"/>
    <x v="2"/>
    <x v="0"/>
    <x v="2"/>
    <x v="193"/>
    <x v="198"/>
    <n v="3"/>
  </r>
  <r>
    <x v="794"/>
    <s v="O1889"/>
    <x v="4"/>
    <x v="0"/>
    <x v="0"/>
    <x v="4"/>
    <x v="0"/>
    <x v="9"/>
    <x v="194"/>
    <x v="201"/>
    <n v="1"/>
  </r>
  <r>
    <x v="795"/>
    <s v="O1890"/>
    <x v="4"/>
    <x v="0"/>
    <x v="0"/>
    <x v="4"/>
    <x v="0"/>
    <x v="9"/>
    <x v="194"/>
    <x v="201"/>
    <n v="4"/>
  </r>
  <r>
    <x v="796"/>
    <s v="O1891"/>
    <x v="3"/>
    <x v="0"/>
    <x v="3"/>
    <x v="3"/>
    <x v="1"/>
    <x v="11"/>
    <x v="195"/>
    <x v="202"/>
    <n v="1"/>
  </r>
  <r>
    <x v="797"/>
    <s v="O1892"/>
    <x v="3"/>
    <x v="0"/>
    <x v="3"/>
    <x v="3"/>
    <x v="1"/>
    <x v="11"/>
    <x v="195"/>
    <x v="202"/>
    <n v="4"/>
  </r>
  <r>
    <x v="798"/>
    <s v="O1893"/>
    <x v="3"/>
    <x v="0"/>
    <x v="3"/>
    <x v="3"/>
    <x v="1"/>
    <x v="11"/>
    <x v="195"/>
    <x v="202"/>
    <n v="2"/>
  </r>
  <r>
    <x v="799"/>
    <s v="O1894"/>
    <x v="9"/>
    <x v="0"/>
    <x v="0"/>
    <x v="9"/>
    <x v="0"/>
    <x v="16"/>
    <x v="196"/>
    <x v="198"/>
    <n v="3"/>
  </r>
  <r>
    <x v="800"/>
    <s v="O1895"/>
    <x v="9"/>
    <x v="0"/>
    <x v="0"/>
    <x v="9"/>
    <x v="0"/>
    <x v="16"/>
    <x v="196"/>
    <x v="198"/>
    <n v="2"/>
  </r>
  <r>
    <x v="801"/>
    <s v="O1896"/>
    <x v="9"/>
    <x v="0"/>
    <x v="0"/>
    <x v="9"/>
    <x v="0"/>
    <x v="16"/>
    <x v="196"/>
    <x v="198"/>
    <n v="4"/>
  </r>
  <r>
    <x v="802"/>
    <s v="O1897"/>
    <x v="2"/>
    <x v="0"/>
    <x v="0"/>
    <x v="2"/>
    <x v="0"/>
    <x v="2"/>
    <x v="197"/>
    <x v="202"/>
    <n v="1"/>
  </r>
  <r>
    <x v="803"/>
    <s v="O1898"/>
    <x v="10"/>
    <x v="1"/>
    <x v="2"/>
    <x v="8"/>
    <x v="1"/>
    <x v="49"/>
    <x v="197"/>
    <x v="198"/>
    <n v="3"/>
  </r>
  <r>
    <x v="804"/>
    <s v="O1899"/>
    <x v="2"/>
    <x v="0"/>
    <x v="0"/>
    <x v="2"/>
    <x v="0"/>
    <x v="2"/>
    <x v="197"/>
    <x v="202"/>
    <n v="1"/>
  </r>
  <r>
    <x v="805"/>
    <s v="O1900"/>
    <x v="10"/>
    <x v="1"/>
    <x v="2"/>
    <x v="8"/>
    <x v="1"/>
    <x v="49"/>
    <x v="197"/>
    <x v="198"/>
    <n v="4"/>
  </r>
  <r>
    <x v="806"/>
    <s v="O1901"/>
    <x v="2"/>
    <x v="0"/>
    <x v="0"/>
    <x v="2"/>
    <x v="0"/>
    <x v="2"/>
    <x v="198"/>
    <x v="198"/>
    <n v="3"/>
  </r>
  <r>
    <x v="807"/>
    <s v="O1902"/>
    <x v="2"/>
    <x v="0"/>
    <x v="0"/>
    <x v="2"/>
    <x v="0"/>
    <x v="2"/>
    <x v="198"/>
    <x v="198"/>
    <n v="4"/>
  </r>
  <r>
    <x v="808"/>
    <s v="O1903"/>
    <x v="2"/>
    <x v="0"/>
    <x v="0"/>
    <x v="2"/>
    <x v="0"/>
    <x v="2"/>
    <x v="198"/>
    <x v="198"/>
    <n v="2"/>
  </r>
  <r>
    <x v="809"/>
    <s v="O1904"/>
    <x v="0"/>
    <x v="0"/>
    <x v="0"/>
    <x v="0"/>
    <x v="0"/>
    <x v="0"/>
    <x v="199"/>
    <x v="202"/>
    <n v="4"/>
  </r>
  <r>
    <x v="810"/>
    <s v="O1905"/>
    <x v="4"/>
    <x v="0"/>
    <x v="0"/>
    <x v="4"/>
    <x v="0"/>
    <x v="9"/>
    <x v="199"/>
    <x v="203"/>
    <n v="4"/>
  </r>
  <r>
    <x v="811"/>
    <s v="O1906"/>
    <x v="0"/>
    <x v="0"/>
    <x v="0"/>
    <x v="0"/>
    <x v="0"/>
    <x v="0"/>
    <x v="199"/>
    <x v="202"/>
    <n v="4"/>
  </r>
  <r>
    <x v="812"/>
    <s v="O1907"/>
    <x v="4"/>
    <x v="0"/>
    <x v="0"/>
    <x v="4"/>
    <x v="0"/>
    <x v="9"/>
    <x v="199"/>
    <x v="203"/>
    <n v="2"/>
  </r>
  <r>
    <x v="813"/>
    <s v="O1908"/>
    <x v="0"/>
    <x v="0"/>
    <x v="0"/>
    <x v="0"/>
    <x v="0"/>
    <x v="0"/>
    <x v="199"/>
    <x v="202"/>
    <n v="3"/>
  </r>
  <r>
    <x v="814"/>
    <s v="O1909"/>
    <x v="4"/>
    <x v="0"/>
    <x v="0"/>
    <x v="4"/>
    <x v="0"/>
    <x v="9"/>
    <x v="199"/>
    <x v="203"/>
    <n v="2"/>
  </r>
  <r>
    <x v="815"/>
    <s v="O1910"/>
    <x v="3"/>
    <x v="0"/>
    <x v="3"/>
    <x v="3"/>
    <x v="0"/>
    <x v="13"/>
    <x v="200"/>
    <x v="203"/>
    <n v="3"/>
  </r>
  <r>
    <x v="816"/>
    <s v="O1911"/>
    <x v="3"/>
    <x v="0"/>
    <x v="3"/>
    <x v="3"/>
    <x v="0"/>
    <x v="13"/>
    <x v="200"/>
    <x v="203"/>
    <n v="4"/>
  </r>
  <r>
    <x v="817"/>
    <s v="O1912"/>
    <x v="3"/>
    <x v="0"/>
    <x v="3"/>
    <x v="3"/>
    <x v="0"/>
    <x v="13"/>
    <x v="200"/>
    <x v="203"/>
    <n v="2"/>
  </r>
  <r>
    <x v="818"/>
    <s v="O1913"/>
    <x v="2"/>
    <x v="0"/>
    <x v="0"/>
    <x v="2"/>
    <x v="1"/>
    <x v="14"/>
    <x v="201"/>
    <x v="203"/>
    <n v="1"/>
  </r>
  <r>
    <x v="819"/>
    <s v="O1914"/>
    <x v="2"/>
    <x v="0"/>
    <x v="0"/>
    <x v="2"/>
    <x v="0"/>
    <x v="2"/>
    <x v="201"/>
    <x v="204"/>
    <n v="2"/>
  </r>
  <r>
    <x v="820"/>
    <s v="O1915"/>
    <x v="2"/>
    <x v="0"/>
    <x v="0"/>
    <x v="2"/>
    <x v="1"/>
    <x v="14"/>
    <x v="201"/>
    <x v="203"/>
    <n v="1"/>
  </r>
  <r>
    <x v="821"/>
    <s v="O1916"/>
    <x v="2"/>
    <x v="0"/>
    <x v="0"/>
    <x v="2"/>
    <x v="0"/>
    <x v="2"/>
    <x v="201"/>
    <x v="204"/>
    <n v="1"/>
  </r>
  <r>
    <x v="822"/>
    <s v="O1917"/>
    <x v="3"/>
    <x v="0"/>
    <x v="3"/>
    <x v="3"/>
    <x v="0"/>
    <x v="13"/>
    <x v="202"/>
    <x v="205"/>
    <n v="4"/>
  </r>
  <r>
    <x v="823"/>
    <s v="O1918"/>
    <x v="6"/>
    <x v="0"/>
    <x v="0"/>
    <x v="6"/>
    <x v="0"/>
    <x v="26"/>
    <x v="202"/>
    <x v="204"/>
    <n v="3"/>
  </r>
  <r>
    <x v="824"/>
    <s v="O1919"/>
    <x v="3"/>
    <x v="0"/>
    <x v="3"/>
    <x v="3"/>
    <x v="0"/>
    <x v="13"/>
    <x v="202"/>
    <x v="205"/>
    <n v="4"/>
  </r>
  <r>
    <x v="825"/>
    <s v="O1920"/>
    <x v="6"/>
    <x v="0"/>
    <x v="0"/>
    <x v="6"/>
    <x v="0"/>
    <x v="26"/>
    <x v="202"/>
    <x v="204"/>
    <n v="2"/>
  </r>
  <r>
    <x v="826"/>
    <s v="O1921"/>
    <x v="3"/>
    <x v="0"/>
    <x v="3"/>
    <x v="3"/>
    <x v="0"/>
    <x v="13"/>
    <x v="202"/>
    <x v="205"/>
    <n v="4"/>
  </r>
  <r>
    <x v="827"/>
    <s v="O1922"/>
    <x v="10"/>
    <x v="1"/>
    <x v="3"/>
    <x v="8"/>
    <x v="0"/>
    <x v="4"/>
    <x v="203"/>
    <x v="206"/>
    <n v="4"/>
  </r>
  <r>
    <x v="828"/>
    <s v="O1923"/>
    <x v="10"/>
    <x v="1"/>
    <x v="3"/>
    <x v="8"/>
    <x v="0"/>
    <x v="4"/>
    <x v="203"/>
    <x v="206"/>
    <n v="3"/>
  </r>
  <r>
    <x v="829"/>
    <s v="O1924"/>
    <x v="3"/>
    <x v="0"/>
    <x v="0"/>
    <x v="3"/>
    <x v="0"/>
    <x v="12"/>
    <x v="204"/>
    <x v="207"/>
    <n v="1"/>
  </r>
  <r>
    <x v="830"/>
    <s v="O1925"/>
    <x v="3"/>
    <x v="0"/>
    <x v="0"/>
    <x v="3"/>
    <x v="0"/>
    <x v="12"/>
    <x v="204"/>
    <x v="207"/>
    <n v="1"/>
  </r>
  <r>
    <x v="831"/>
    <s v="O1926"/>
    <x v="3"/>
    <x v="0"/>
    <x v="0"/>
    <x v="3"/>
    <x v="1"/>
    <x v="2"/>
    <x v="205"/>
    <x v="208"/>
    <n v="4"/>
  </r>
  <r>
    <x v="832"/>
    <s v="O1927"/>
    <x v="3"/>
    <x v="0"/>
    <x v="0"/>
    <x v="3"/>
    <x v="1"/>
    <x v="2"/>
    <x v="205"/>
    <x v="208"/>
    <n v="2"/>
  </r>
  <r>
    <x v="833"/>
    <s v="O1928"/>
    <x v="3"/>
    <x v="0"/>
    <x v="0"/>
    <x v="3"/>
    <x v="1"/>
    <x v="2"/>
    <x v="205"/>
    <x v="208"/>
    <n v="4"/>
  </r>
  <r>
    <x v="834"/>
    <s v="O1929"/>
    <x v="10"/>
    <x v="1"/>
    <x v="0"/>
    <x v="8"/>
    <x v="2"/>
    <x v="9"/>
    <x v="206"/>
    <x v="208"/>
    <n v="2"/>
  </r>
  <r>
    <x v="835"/>
    <s v="O1930"/>
    <x v="10"/>
    <x v="1"/>
    <x v="0"/>
    <x v="8"/>
    <x v="2"/>
    <x v="9"/>
    <x v="206"/>
    <x v="208"/>
    <n v="3"/>
  </r>
  <r>
    <x v="836"/>
    <s v="O1931"/>
    <x v="3"/>
    <x v="0"/>
    <x v="3"/>
    <x v="3"/>
    <x v="0"/>
    <x v="13"/>
    <x v="207"/>
    <x v="209"/>
    <n v="2"/>
  </r>
  <r>
    <x v="837"/>
    <s v="O1932"/>
    <x v="2"/>
    <x v="0"/>
    <x v="2"/>
    <x v="2"/>
    <x v="0"/>
    <x v="20"/>
    <x v="207"/>
    <x v="209"/>
    <n v="1"/>
  </r>
  <r>
    <x v="838"/>
    <s v="O1933"/>
    <x v="3"/>
    <x v="0"/>
    <x v="3"/>
    <x v="3"/>
    <x v="0"/>
    <x v="13"/>
    <x v="207"/>
    <x v="209"/>
    <n v="4"/>
  </r>
  <r>
    <x v="839"/>
    <s v="O1934"/>
    <x v="2"/>
    <x v="0"/>
    <x v="2"/>
    <x v="2"/>
    <x v="0"/>
    <x v="20"/>
    <x v="207"/>
    <x v="209"/>
    <n v="4"/>
  </r>
  <r>
    <x v="840"/>
    <s v="O1935"/>
    <x v="2"/>
    <x v="0"/>
    <x v="2"/>
    <x v="2"/>
    <x v="0"/>
    <x v="20"/>
    <x v="207"/>
    <x v="209"/>
    <n v="4"/>
  </r>
  <r>
    <x v="841"/>
    <s v="O1936"/>
    <x v="6"/>
    <x v="0"/>
    <x v="0"/>
    <x v="6"/>
    <x v="2"/>
    <x v="34"/>
    <x v="208"/>
    <x v="210"/>
    <n v="2"/>
  </r>
  <r>
    <x v="842"/>
    <s v="O1937"/>
    <x v="6"/>
    <x v="0"/>
    <x v="0"/>
    <x v="6"/>
    <x v="2"/>
    <x v="34"/>
    <x v="208"/>
    <x v="210"/>
    <n v="3"/>
  </r>
  <r>
    <x v="843"/>
    <s v="O1938"/>
    <x v="4"/>
    <x v="0"/>
    <x v="0"/>
    <x v="4"/>
    <x v="0"/>
    <x v="9"/>
    <x v="209"/>
    <x v="210"/>
    <n v="2"/>
  </r>
  <r>
    <x v="844"/>
    <s v="O1939"/>
    <x v="4"/>
    <x v="0"/>
    <x v="0"/>
    <x v="4"/>
    <x v="0"/>
    <x v="9"/>
    <x v="209"/>
    <x v="210"/>
    <n v="1"/>
  </r>
  <r>
    <x v="845"/>
    <s v="O1940"/>
    <x v="5"/>
    <x v="0"/>
    <x v="0"/>
    <x v="5"/>
    <x v="0"/>
    <x v="14"/>
    <x v="210"/>
    <x v="211"/>
    <n v="3"/>
  </r>
  <r>
    <x v="846"/>
    <s v="O1941"/>
    <x v="5"/>
    <x v="0"/>
    <x v="0"/>
    <x v="5"/>
    <x v="0"/>
    <x v="14"/>
    <x v="210"/>
    <x v="211"/>
    <n v="4"/>
  </r>
  <r>
    <x v="847"/>
    <s v="O1942"/>
    <x v="5"/>
    <x v="0"/>
    <x v="0"/>
    <x v="5"/>
    <x v="0"/>
    <x v="14"/>
    <x v="210"/>
    <x v="211"/>
    <n v="1"/>
  </r>
  <r>
    <x v="848"/>
    <s v="O1943"/>
    <x v="2"/>
    <x v="0"/>
    <x v="0"/>
    <x v="2"/>
    <x v="0"/>
    <x v="2"/>
    <x v="211"/>
    <x v="212"/>
    <n v="2"/>
  </r>
  <r>
    <x v="849"/>
    <s v="O1944"/>
    <x v="2"/>
    <x v="0"/>
    <x v="0"/>
    <x v="2"/>
    <x v="1"/>
    <x v="14"/>
    <x v="211"/>
    <x v="211"/>
    <n v="3"/>
  </r>
  <r>
    <x v="850"/>
    <s v="O1945"/>
    <x v="2"/>
    <x v="0"/>
    <x v="0"/>
    <x v="2"/>
    <x v="0"/>
    <x v="2"/>
    <x v="211"/>
    <x v="212"/>
    <n v="4"/>
  </r>
  <r>
    <x v="851"/>
    <s v="O1946"/>
    <x v="2"/>
    <x v="0"/>
    <x v="0"/>
    <x v="2"/>
    <x v="1"/>
    <x v="14"/>
    <x v="211"/>
    <x v="211"/>
    <n v="1"/>
  </r>
  <r>
    <x v="852"/>
    <s v="O1947"/>
    <x v="2"/>
    <x v="0"/>
    <x v="0"/>
    <x v="2"/>
    <x v="0"/>
    <x v="2"/>
    <x v="212"/>
    <x v="213"/>
    <n v="4"/>
  </r>
  <r>
    <x v="853"/>
    <s v="O1948"/>
    <x v="2"/>
    <x v="0"/>
    <x v="0"/>
    <x v="2"/>
    <x v="1"/>
    <x v="14"/>
    <x v="212"/>
    <x v="214"/>
    <n v="1"/>
  </r>
  <r>
    <x v="854"/>
    <s v="O1949"/>
    <x v="2"/>
    <x v="0"/>
    <x v="0"/>
    <x v="2"/>
    <x v="2"/>
    <x v="10"/>
    <x v="212"/>
    <x v="215"/>
    <n v="2"/>
  </r>
  <r>
    <x v="855"/>
    <s v="O1950"/>
    <x v="2"/>
    <x v="0"/>
    <x v="0"/>
    <x v="2"/>
    <x v="0"/>
    <x v="2"/>
    <x v="212"/>
    <x v="213"/>
    <n v="1"/>
  </r>
  <r>
    <x v="856"/>
    <s v="O1951"/>
    <x v="2"/>
    <x v="0"/>
    <x v="0"/>
    <x v="2"/>
    <x v="1"/>
    <x v="14"/>
    <x v="212"/>
    <x v="214"/>
    <n v="2"/>
  </r>
  <r>
    <x v="857"/>
    <s v="O1952"/>
    <x v="2"/>
    <x v="0"/>
    <x v="0"/>
    <x v="2"/>
    <x v="2"/>
    <x v="10"/>
    <x v="212"/>
    <x v="215"/>
    <n v="1"/>
  </r>
  <r>
    <x v="858"/>
    <s v="O1953"/>
    <x v="2"/>
    <x v="0"/>
    <x v="0"/>
    <x v="2"/>
    <x v="2"/>
    <x v="10"/>
    <x v="212"/>
    <x v="215"/>
    <n v="1"/>
  </r>
  <r>
    <x v="859"/>
    <s v="O1954"/>
    <x v="4"/>
    <x v="0"/>
    <x v="0"/>
    <x v="4"/>
    <x v="1"/>
    <x v="7"/>
    <x v="213"/>
    <x v="211"/>
    <n v="1"/>
  </r>
  <r>
    <x v="860"/>
    <s v="O1955"/>
    <x v="4"/>
    <x v="0"/>
    <x v="0"/>
    <x v="4"/>
    <x v="0"/>
    <x v="9"/>
    <x v="213"/>
    <x v="216"/>
    <n v="1"/>
  </r>
  <r>
    <x v="861"/>
    <s v="O1956"/>
    <x v="4"/>
    <x v="0"/>
    <x v="0"/>
    <x v="4"/>
    <x v="1"/>
    <x v="7"/>
    <x v="213"/>
    <x v="211"/>
    <n v="4"/>
  </r>
  <r>
    <x v="862"/>
    <s v="O1957"/>
    <x v="4"/>
    <x v="0"/>
    <x v="0"/>
    <x v="4"/>
    <x v="0"/>
    <x v="9"/>
    <x v="213"/>
    <x v="216"/>
    <n v="4"/>
  </r>
  <r>
    <x v="863"/>
    <s v="O1958"/>
    <x v="4"/>
    <x v="0"/>
    <x v="0"/>
    <x v="4"/>
    <x v="0"/>
    <x v="9"/>
    <x v="213"/>
    <x v="216"/>
    <n v="1"/>
  </r>
  <r>
    <x v="864"/>
    <s v="O1959"/>
    <x v="2"/>
    <x v="0"/>
    <x v="0"/>
    <x v="2"/>
    <x v="1"/>
    <x v="14"/>
    <x v="214"/>
    <x v="216"/>
    <n v="1"/>
  </r>
  <r>
    <x v="865"/>
    <s v="O1960"/>
    <x v="4"/>
    <x v="0"/>
    <x v="3"/>
    <x v="4"/>
    <x v="1"/>
    <x v="28"/>
    <x v="214"/>
    <x v="216"/>
    <n v="3"/>
  </r>
  <r>
    <x v="866"/>
    <s v="O1961"/>
    <x v="9"/>
    <x v="0"/>
    <x v="0"/>
    <x v="9"/>
    <x v="2"/>
    <x v="18"/>
    <x v="214"/>
    <x v="217"/>
    <n v="3"/>
  </r>
  <r>
    <x v="867"/>
    <s v="O1962"/>
    <x v="6"/>
    <x v="0"/>
    <x v="2"/>
    <x v="6"/>
    <x v="0"/>
    <x v="15"/>
    <x v="214"/>
    <x v="218"/>
    <n v="3"/>
  </r>
  <r>
    <x v="868"/>
    <s v="O1963"/>
    <x v="2"/>
    <x v="0"/>
    <x v="0"/>
    <x v="2"/>
    <x v="1"/>
    <x v="14"/>
    <x v="214"/>
    <x v="216"/>
    <n v="2"/>
  </r>
  <r>
    <x v="869"/>
    <s v="O1964"/>
    <x v="4"/>
    <x v="0"/>
    <x v="3"/>
    <x v="4"/>
    <x v="1"/>
    <x v="28"/>
    <x v="214"/>
    <x v="216"/>
    <n v="3"/>
  </r>
  <r>
    <x v="870"/>
    <s v="O1965"/>
    <x v="9"/>
    <x v="0"/>
    <x v="0"/>
    <x v="9"/>
    <x v="2"/>
    <x v="18"/>
    <x v="214"/>
    <x v="217"/>
    <n v="4"/>
  </r>
  <r>
    <x v="871"/>
    <s v="O1966"/>
    <x v="6"/>
    <x v="0"/>
    <x v="2"/>
    <x v="6"/>
    <x v="0"/>
    <x v="15"/>
    <x v="214"/>
    <x v="218"/>
    <n v="4"/>
  </r>
  <r>
    <x v="872"/>
    <s v="O1967"/>
    <x v="9"/>
    <x v="0"/>
    <x v="0"/>
    <x v="9"/>
    <x v="2"/>
    <x v="18"/>
    <x v="214"/>
    <x v="217"/>
    <n v="2"/>
  </r>
  <r>
    <x v="873"/>
    <s v="O1968"/>
    <x v="6"/>
    <x v="0"/>
    <x v="2"/>
    <x v="6"/>
    <x v="0"/>
    <x v="15"/>
    <x v="214"/>
    <x v="218"/>
    <n v="1"/>
  </r>
  <r>
    <x v="874"/>
    <s v="O1969"/>
    <x v="0"/>
    <x v="0"/>
    <x v="0"/>
    <x v="0"/>
    <x v="0"/>
    <x v="0"/>
    <x v="215"/>
    <x v="219"/>
    <n v="4"/>
  </r>
  <r>
    <x v="875"/>
    <s v="O1970"/>
    <x v="3"/>
    <x v="0"/>
    <x v="0"/>
    <x v="3"/>
    <x v="0"/>
    <x v="12"/>
    <x v="215"/>
    <x v="220"/>
    <n v="2"/>
  </r>
  <r>
    <x v="876"/>
    <s v="O1971"/>
    <x v="0"/>
    <x v="0"/>
    <x v="0"/>
    <x v="0"/>
    <x v="0"/>
    <x v="0"/>
    <x v="215"/>
    <x v="219"/>
    <n v="2"/>
  </r>
  <r>
    <x v="877"/>
    <s v="O1972"/>
    <x v="3"/>
    <x v="0"/>
    <x v="0"/>
    <x v="3"/>
    <x v="0"/>
    <x v="12"/>
    <x v="215"/>
    <x v="220"/>
    <n v="4"/>
  </r>
  <r>
    <x v="878"/>
    <s v="O1973"/>
    <x v="0"/>
    <x v="0"/>
    <x v="0"/>
    <x v="0"/>
    <x v="0"/>
    <x v="0"/>
    <x v="215"/>
    <x v="219"/>
    <n v="1"/>
  </r>
  <r>
    <x v="879"/>
    <s v="O1974"/>
    <x v="2"/>
    <x v="0"/>
    <x v="2"/>
    <x v="2"/>
    <x v="0"/>
    <x v="20"/>
    <x v="216"/>
    <x v="217"/>
    <n v="3"/>
  </r>
  <r>
    <x v="880"/>
    <s v="O1975"/>
    <x v="3"/>
    <x v="0"/>
    <x v="0"/>
    <x v="3"/>
    <x v="2"/>
    <x v="14"/>
    <x v="216"/>
    <x v="219"/>
    <n v="2"/>
  </r>
  <r>
    <x v="881"/>
    <s v="O1976"/>
    <x v="2"/>
    <x v="0"/>
    <x v="2"/>
    <x v="2"/>
    <x v="0"/>
    <x v="20"/>
    <x v="216"/>
    <x v="217"/>
    <n v="4"/>
  </r>
  <r>
    <x v="882"/>
    <s v="O1977"/>
    <x v="3"/>
    <x v="0"/>
    <x v="0"/>
    <x v="3"/>
    <x v="2"/>
    <x v="14"/>
    <x v="216"/>
    <x v="219"/>
    <n v="4"/>
  </r>
  <r>
    <x v="883"/>
    <s v="O1978"/>
    <x v="3"/>
    <x v="0"/>
    <x v="0"/>
    <x v="3"/>
    <x v="0"/>
    <x v="12"/>
    <x v="217"/>
    <x v="221"/>
    <n v="4"/>
  </r>
  <r>
    <x v="884"/>
    <s v="O1979"/>
    <x v="3"/>
    <x v="0"/>
    <x v="2"/>
    <x v="3"/>
    <x v="1"/>
    <x v="4"/>
    <x v="217"/>
    <x v="222"/>
    <n v="3"/>
  </r>
  <r>
    <x v="885"/>
    <s v="O1980"/>
    <x v="2"/>
    <x v="0"/>
    <x v="0"/>
    <x v="2"/>
    <x v="0"/>
    <x v="2"/>
    <x v="217"/>
    <x v="221"/>
    <n v="3"/>
  </r>
  <r>
    <x v="886"/>
    <s v="O1981"/>
    <x v="3"/>
    <x v="0"/>
    <x v="0"/>
    <x v="3"/>
    <x v="0"/>
    <x v="12"/>
    <x v="217"/>
    <x v="221"/>
    <n v="4"/>
  </r>
  <r>
    <x v="887"/>
    <s v="O1982"/>
    <x v="3"/>
    <x v="0"/>
    <x v="2"/>
    <x v="3"/>
    <x v="1"/>
    <x v="4"/>
    <x v="217"/>
    <x v="222"/>
    <n v="1"/>
  </r>
  <r>
    <x v="888"/>
    <s v="O1983"/>
    <x v="2"/>
    <x v="0"/>
    <x v="0"/>
    <x v="2"/>
    <x v="0"/>
    <x v="2"/>
    <x v="217"/>
    <x v="221"/>
    <n v="2"/>
  </r>
  <r>
    <x v="889"/>
    <s v="O1984"/>
    <x v="3"/>
    <x v="0"/>
    <x v="2"/>
    <x v="3"/>
    <x v="1"/>
    <x v="4"/>
    <x v="217"/>
    <x v="222"/>
    <n v="2"/>
  </r>
  <r>
    <x v="890"/>
    <s v="O1985"/>
    <x v="2"/>
    <x v="0"/>
    <x v="3"/>
    <x v="2"/>
    <x v="0"/>
    <x v="5"/>
    <x v="218"/>
    <x v="222"/>
    <n v="1"/>
  </r>
  <r>
    <x v="891"/>
    <s v="O1986"/>
    <x v="6"/>
    <x v="0"/>
    <x v="0"/>
    <x v="6"/>
    <x v="0"/>
    <x v="26"/>
    <x v="218"/>
    <x v="223"/>
    <n v="3"/>
  </r>
  <r>
    <x v="892"/>
    <s v="O1987"/>
    <x v="5"/>
    <x v="0"/>
    <x v="0"/>
    <x v="5"/>
    <x v="0"/>
    <x v="14"/>
    <x v="218"/>
    <x v="222"/>
    <n v="3"/>
  </r>
  <r>
    <x v="893"/>
    <s v="O1988"/>
    <x v="2"/>
    <x v="0"/>
    <x v="0"/>
    <x v="2"/>
    <x v="1"/>
    <x v="14"/>
    <x v="218"/>
    <x v="219"/>
    <n v="3"/>
  </r>
  <r>
    <x v="894"/>
    <s v="O1989"/>
    <x v="2"/>
    <x v="0"/>
    <x v="3"/>
    <x v="2"/>
    <x v="0"/>
    <x v="5"/>
    <x v="218"/>
    <x v="222"/>
    <n v="2"/>
  </r>
  <r>
    <x v="895"/>
    <s v="O1990"/>
    <x v="6"/>
    <x v="0"/>
    <x v="0"/>
    <x v="6"/>
    <x v="0"/>
    <x v="26"/>
    <x v="218"/>
    <x v="223"/>
    <n v="1"/>
  </r>
  <r>
    <x v="896"/>
    <s v="O1991"/>
    <x v="5"/>
    <x v="0"/>
    <x v="0"/>
    <x v="5"/>
    <x v="0"/>
    <x v="14"/>
    <x v="218"/>
    <x v="222"/>
    <n v="3"/>
  </r>
  <r>
    <x v="897"/>
    <s v="O1992"/>
    <x v="2"/>
    <x v="0"/>
    <x v="0"/>
    <x v="2"/>
    <x v="1"/>
    <x v="14"/>
    <x v="218"/>
    <x v="219"/>
    <n v="3"/>
  </r>
  <r>
    <x v="898"/>
    <s v="O1993"/>
    <x v="2"/>
    <x v="0"/>
    <x v="3"/>
    <x v="2"/>
    <x v="0"/>
    <x v="5"/>
    <x v="218"/>
    <x v="222"/>
    <n v="4"/>
  </r>
  <r>
    <x v="899"/>
    <s v="O1994"/>
    <x v="2"/>
    <x v="0"/>
    <x v="3"/>
    <x v="2"/>
    <x v="0"/>
    <x v="5"/>
    <x v="219"/>
    <x v="224"/>
    <n v="1"/>
  </r>
  <r>
    <x v="900"/>
    <s v="O1995"/>
    <x v="2"/>
    <x v="0"/>
    <x v="3"/>
    <x v="2"/>
    <x v="0"/>
    <x v="5"/>
    <x v="219"/>
    <x v="224"/>
    <n v="1"/>
  </r>
  <r>
    <x v="901"/>
    <s v="O1996"/>
    <x v="11"/>
    <x v="1"/>
    <x v="3"/>
    <x v="10"/>
    <x v="0"/>
    <x v="27"/>
    <x v="220"/>
    <x v="225"/>
    <n v="2"/>
  </r>
  <r>
    <x v="902"/>
    <s v="O1997"/>
    <x v="3"/>
    <x v="0"/>
    <x v="0"/>
    <x v="3"/>
    <x v="0"/>
    <x v="12"/>
    <x v="220"/>
    <x v="226"/>
    <n v="1"/>
  </r>
  <r>
    <x v="903"/>
    <s v="O1998"/>
    <x v="2"/>
    <x v="0"/>
    <x v="0"/>
    <x v="2"/>
    <x v="0"/>
    <x v="2"/>
    <x v="220"/>
    <x v="225"/>
    <n v="3"/>
  </r>
  <r>
    <x v="904"/>
    <s v="O1999"/>
    <x v="11"/>
    <x v="1"/>
    <x v="3"/>
    <x v="10"/>
    <x v="0"/>
    <x v="27"/>
    <x v="220"/>
    <x v="225"/>
    <n v="3"/>
  </r>
  <r>
    <x v="905"/>
    <s v="O2000"/>
    <x v="3"/>
    <x v="0"/>
    <x v="0"/>
    <x v="3"/>
    <x v="0"/>
    <x v="12"/>
    <x v="220"/>
    <x v="226"/>
    <n v="4"/>
  </r>
  <r>
    <x v="906"/>
    <s v="O2001"/>
    <x v="2"/>
    <x v="0"/>
    <x v="0"/>
    <x v="2"/>
    <x v="0"/>
    <x v="2"/>
    <x v="220"/>
    <x v="225"/>
    <n v="3"/>
  </r>
  <r>
    <x v="907"/>
    <s v="O2002"/>
    <x v="2"/>
    <x v="0"/>
    <x v="0"/>
    <x v="2"/>
    <x v="0"/>
    <x v="2"/>
    <x v="221"/>
    <x v="227"/>
    <n v="3"/>
  </r>
  <r>
    <x v="908"/>
    <s v="O2003"/>
    <x v="2"/>
    <x v="0"/>
    <x v="0"/>
    <x v="2"/>
    <x v="0"/>
    <x v="2"/>
    <x v="221"/>
    <x v="228"/>
    <n v="1"/>
  </r>
  <r>
    <x v="909"/>
    <s v="O2004"/>
    <x v="4"/>
    <x v="0"/>
    <x v="2"/>
    <x v="4"/>
    <x v="1"/>
    <x v="24"/>
    <x v="221"/>
    <x v="226"/>
    <n v="4"/>
  </r>
  <r>
    <x v="910"/>
    <s v="O2005"/>
    <x v="2"/>
    <x v="0"/>
    <x v="0"/>
    <x v="2"/>
    <x v="1"/>
    <x v="14"/>
    <x v="221"/>
    <x v="225"/>
    <n v="3"/>
  </r>
  <r>
    <x v="911"/>
    <s v="O2006"/>
    <x v="2"/>
    <x v="0"/>
    <x v="0"/>
    <x v="2"/>
    <x v="0"/>
    <x v="2"/>
    <x v="221"/>
    <x v="227"/>
    <n v="1"/>
  </r>
  <r>
    <x v="912"/>
    <s v="O2007"/>
    <x v="2"/>
    <x v="0"/>
    <x v="0"/>
    <x v="2"/>
    <x v="0"/>
    <x v="2"/>
    <x v="221"/>
    <x v="228"/>
    <n v="1"/>
  </r>
  <r>
    <x v="913"/>
    <s v="O2008"/>
    <x v="4"/>
    <x v="0"/>
    <x v="2"/>
    <x v="4"/>
    <x v="1"/>
    <x v="24"/>
    <x v="221"/>
    <x v="226"/>
    <n v="4"/>
  </r>
  <r>
    <x v="914"/>
    <s v="O2009"/>
    <x v="2"/>
    <x v="0"/>
    <x v="0"/>
    <x v="2"/>
    <x v="1"/>
    <x v="14"/>
    <x v="221"/>
    <x v="225"/>
    <n v="4"/>
  </r>
  <r>
    <x v="915"/>
    <s v="O2010"/>
    <x v="2"/>
    <x v="0"/>
    <x v="3"/>
    <x v="2"/>
    <x v="2"/>
    <x v="17"/>
    <x v="222"/>
    <x v="229"/>
    <n v="4"/>
  </r>
  <r>
    <x v="916"/>
    <s v="O2011"/>
    <x v="3"/>
    <x v="0"/>
    <x v="2"/>
    <x v="3"/>
    <x v="2"/>
    <x v="29"/>
    <x v="222"/>
    <x v="226"/>
    <n v="3"/>
  </r>
  <r>
    <x v="917"/>
    <s v="O2012"/>
    <x v="2"/>
    <x v="0"/>
    <x v="3"/>
    <x v="2"/>
    <x v="2"/>
    <x v="17"/>
    <x v="222"/>
    <x v="229"/>
    <n v="1"/>
  </r>
  <r>
    <x v="918"/>
    <s v="O2013"/>
    <x v="3"/>
    <x v="0"/>
    <x v="2"/>
    <x v="3"/>
    <x v="2"/>
    <x v="29"/>
    <x v="222"/>
    <x v="226"/>
    <n v="3"/>
  </r>
  <r>
    <x v="919"/>
    <s v="O2014"/>
    <x v="2"/>
    <x v="0"/>
    <x v="3"/>
    <x v="2"/>
    <x v="2"/>
    <x v="17"/>
    <x v="222"/>
    <x v="229"/>
    <n v="1"/>
  </r>
  <r>
    <x v="920"/>
    <s v="O2015"/>
    <x v="3"/>
    <x v="0"/>
    <x v="2"/>
    <x v="3"/>
    <x v="2"/>
    <x v="29"/>
    <x v="222"/>
    <x v="226"/>
    <n v="1"/>
  </r>
  <r>
    <x v="921"/>
    <s v="O2016"/>
    <x v="5"/>
    <x v="0"/>
    <x v="3"/>
    <x v="5"/>
    <x v="0"/>
    <x v="17"/>
    <x v="223"/>
    <x v="229"/>
    <n v="4"/>
  </r>
  <r>
    <x v="922"/>
    <s v="O2017"/>
    <x v="5"/>
    <x v="0"/>
    <x v="3"/>
    <x v="5"/>
    <x v="0"/>
    <x v="17"/>
    <x v="223"/>
    <x v="229"/>
    <n v="2"/>
  </r>
  <r>
    <x v="923"/>
    <s v="O2018"/>
    <x v="5"/>
    <x v="0"/>
    <x v="3"/>
    <x v="5"/>
    <x v="0"/>
    <x v="17"/>
    <x v="223"/>
    <x v="229"/>
    <n v="4"/>
  </r>
  <r>
    <x v="924"/>
    <s v="O2019"/>
    <x v="6"/>
    <x v="0"/>
    <x v="0"/>
    <x v="6"/>
    <x v="0"/>
    <x v="26"/>
    <x v="224"/>
    <x v="228"/>
    <n v="3"/>
  </r>
  <r>
    <x v="925"/>
    <s v="O2020"/>
    <x v="2"/>
    <x v="0"/>
    <x v="0"/>
    <x v="2"/>
    <x v="0"/>
    <x v="2"/>
    <x v="224"/>
    <x v="230"/>
    <n v="1"/>
  </r>
  <r>
    <x v="926"/>
    <s v="O2021"/>
    <x v="6"/>
    <x v="0"/>
    <x v="0"/>
    <x v="6"/>
    <x v="0"/>
    <x v="26"/>
    <x v="224"/>
    <x v="228"/>
    <n v="4"/>
  </r>
  <r>
    <x v="927"/>
    <s v="O2022"/>
    <x v="2"/>
    <x v="0"/>
    <x v="0"/>
    <x v="2"/>
    <x v="0"/>
    <x v="2"/>
    <x v="224"/>
    <x v="230"/>
    <n v="4"/>
  </r>
  <r>
    <x v="928"/>
    <s v="O2023"/>
    <x v="2"/>
    <x v="0"/>
    <x v="0"/>
    <x v="2"/>
    <x v="0"/>
    <x v="2"/>
    <x v="224"/>
    <x v="230"/>
    <n v="3"/>
  </r>
  <r>
    <x v="929"/>
    <s v="O2024"/>
    <x v="3"/>
    <x v="0"/>
    <x v="0"/>
    <x v="3"/>
    <x v="0"/>
    <x v="12"/>
    <x v="225"/>
    <x v="231"/>
    <n v="4"/>
  </r>
  <r>
    <x v="930"/>
    <s v="O2025"/>
    <x v="5"/>
    <x v="0"/>
    <x v="3"/>
    <x v="5"/>
    <x v="0"/>
    <x v="17"/>
    <x v="225"/>
    <x v="228"/>
    <n v="1"/>
  </r>
  <r>
    <x v="931"/>
    <s v="O2026"/>
    <x v="3"/>
    <x v="0"/>
    <x v="0"/>
    <x v="3"/>
    <x v="0"/>
    <x v="12"/>
    <x v="225"/>
    <x v="231"/>
    <n v="4"/>
  </r>
  <r>
    <x v="932"/>
    <s v="O2027"/>
    <x v="5"/>
    <x v="0"/>
    <x v="3"/>
    <x v="5"/>
    <x v="0"/>
    <x v="17"/>
    <x v="225"/>
    <x v="228"/>
    <n v="2"/>
  </r>
  <r>
    <x v="933"/>
    <s v="O2028"/>
    <x v="3"/>
    <x v="0"/>
    <x v="0"/>
    <x v="3"/>
    <x v="0"/>
    <x v="12"/>
    <x v="225"/>
    <x v="231"/>
    <n v="4"/>
  </r>
  <r>
    <x v="934"/>
    <s v="O2029"/>
    <x v="5"/>
    <x v="0"/>
    <x v="3"/>
    <x v="5"/>
    <x v="0"/>
    <x v="17"/>
    <x v="225"/>
    <x v="228"/>
    <n v="1"/>
  </r>
  <r>
    <x v="935"/>
    <s v="O2030"/>
    <x v="2"/>
    <x v="0"/>
    <x v="0"/>
    <x v="2"/>
    <x v="2"/>
    <x v="10"/>
    <x v="226"/>
    <x v="232"/>
    <n v="1"/>
  </r>
  <r>
    <x v="936"/>
    <s v="O2031"/>
    <x v="3"/>
    <x v="0"/>
    <x v="0"/>
    <x v="3"/>
    <x v="0"/>
    <x v="12"/>
    <x v="226"/>
    <x v="231"/>
    <n v="4"/>
  </r>
  <r>
    <x v="937"/>
    <s v="O2032"/>
    <x v="3"/>
    <x v="0"/>
    <x v="0"/>
    <x v="3"/>
    <x v="1"/>
    <x v="2"/>
    <x v="226"/>
    <x v="233"/>
    <n v="4"/>
  </r>
  <r>
    <x v="938"/>
    <s v="O2033"/>
    <x v="2"/>
    <x v="0"/>
    <x v="0"/>
    <x v="2"/>
    <x v="2"/>
    <x v="10"/>
    <x v="226"/>
    <x v="230"/>
    <n v="3"/>
  </r>
  <r>
    <x v="939"/>
    <s v="O2034"/>
    <x v="2"/>
    <x v="0"/>
    <x v="0"/>
    <x v="2"/>
    <x v="2"/>
    <x v="10"/>
    <x v="226"/>
    <x v="232"/>
    <n v="4"/>
  </r>
  <r>
    <x v="940"/>
    <s v="O2035"/>
    <x v="3"/>
    <x v="0"/>
    <x v="0"/>
    <x v="3"/>
    <x v="0"/>
    <x v="12"/>
    <x v="226"/>
    <x v="231"/>
    <n v="2"/>
  </r>
  <r>
    <x v="941"/>
    <s v="O2036"/>
    <x v="3"/>
    <x v="0"/>
    <x v="0"/>
    <x v="3"/>
    <x v="1"/>
    <x v="2"/>
    <x v="226"/>
    <x v="233"/>
    <n v="4"/>
  </r>
  <r>
    <x v="942"/>
    <s v="O2037"/>
    <x v="2"/>
    <x v="0"/>
    <x v="0"/>
    <x v="2"/>
    <x v="2"/>
    <x v="10"/>
    <x v="226"/>
    <x v="230"/>
    <n v="3"/>
  </r>
  <r>
    <x v="943"/>
    <s v="O2038"/>
    <x v="2"/>
    <x v="0"/>
    <x v="0"/>
    <x v="2"/>
    <x v="2"/>
    <x v="10"/>
    <x v="226"/>
    <x v="230"/>
    <n v="1"/>
  </r>
  <r>
    <x v="944"/>
    <s v="O2039"/>
    <x v="3"/>
    <x v="0"/>
    <x v="0"/>
    <x v="3"/>
    <x v="0"/>
    <x v="12"/>
    <x v="227"/>
    <x v="234"/>
    <n v="2"/>
  </r>
  <r>
    <x v="945"/>
    <s v="O2040"/>
    <x v="6"/>
    <x v="0"/>
    <x v="0"/>
    <x v="6"/>
    <x v="0"/>
    <x v="26"/>
    <x v="227"/>
    <x v="232"/>
    <n v="2"/>
  </r>
  <r>
    <x v="946"/>
    <s v="O2041"/>
    <x v="2"/>
    <x v="0"/>
    <x v="0"/>
    <x v="2"/>
    <x v="0"/>
    <x v="2"/>
    <x v="227"/>
    <x v="235"/>
    <n v="3"/>
  </r>
  <r>
    <x v="947"/>
    <s v="O2042"/>
    <x v="3"/>
    <x v="0"/>
    <x v="0"/>
    <x v="3"/>
    <x v="0"/>
    <x v="12"/>
    <x v="227"/>
    <x v="234"/>
    <n v="3"/>
  </r>
  <r>
    <x v="948"/>
    <s v="O2043"/>
    <x v="6"/>
    <x v="0"/>
    <x v="0"/>
    <x v="6"/>
    <x v="0"/>
    <x v="26"/>
    <x v="227"/>
    <x v="232"/>
    <n v="3"/>
  </r>
  <r>
    <x v="949"/>
    <s v="O2044"/>
    <x v="2"/>
    <x v="0"/>
    <x v="0"/>
    <x v="2"/>
    <x v="0"/>
    <x v="2"/>
    <x v="227"/>
    <x v="235"/>
    <n v="3"/>
  </r>
  <r>
    <x v="950"/>
    <s v="O2045"/>
    <x v="2"/>
    <x v="0"/>
    <x v="0"/>
    <x v="2"/>
    <x v="0"/>
    <x v="2"/>
    <x v="227"/>
    <x v="235"/>
    <n v="1"/>
  </r>
  <r>
    <x v="951"/>
    <s v="O2046"/>
    <x v="3"/>
    <x v="0"/>
    <x v="3"/>
    <x v="3"/>
    <x v="0"/>
    <x v="13"/>
    <x v="228"/>
    <x v="235"/>
    <n v="1"/>
  </r>
  <r>
    <x v="952"/>
    <s v="O2047"/>
    <x v="4"/>
    <x v="0"/>
    <x v="0"/>
    <x v="4"/>
    <x v="1"/>
    <x v="7"/>
    <x v="228"/>
    <x v="231"/>
    <n v="4"/>
  </r>
  <r>
    <x v="953"/>
    <s v="O2048"/>
    <x v="3"/>
    <x v="0"/>
    <x v="0"/>
    <x v="3"/>
    <x v="2"/>
    <x v="14"/>
    <x v="228"/>
    <x v="234"/>
    <n v="3"/>
  </r>
  <r>
    <x v="954"/>
    <s v="O2049"/>
    <x v="3"/>
    <x v="0"/>
    <x v="3"/>
    <x v="3"/>
    <x v="0"/>
    <x v="13"/>
    <x v="228"/>
    <x v="235"/>
    <n v="2"/>
  </r>
  <r>
    <x v="955"/>
    <s v="O2050"/>
    <x v="4"/>
    <x v="0"/>
    <x v="0"/>
    <x v="4"/>
    <x v="1"/>
    <x v="7"/>
    <x v="228"/>
    <x v="231"/>
    <n v="2"/>
  </r>
  <r>
    <x v="956"/>
    <s v="O2051"/>
    <x v="3"/>
    <x v="0"/>
    <x v="0"/>
    <x v="3"/>
    <x v="2"/>
    <x v="14"/>
    <x v="228"/>
    <x v="234"/>
    <n v="2"/>
  </r>
  <r>
    <x v="957"/>
    <s v="O2052"/>
    <x v="4"/>
    <x v="0"/>
    <x v="0"/>
    <x v="4"/>
    <x v="1"/>
    <x v="7"/>
    <x v="228"/>
    <x v="231"/>
    <n v="4"/>
  </r>
  <r>
    <x v="958"/>
    <s v="O2053"/>
    <x v="3"/>
    <x v="0"/>
    <x v="0"/>
    <x v="3"/>
    <x v="2"/>
    <x v="14"/>
    <x v="228"/>
    <x v="234"/>
    <n v="4"/>
  </r>
  <r>
    <x v="959"/>
    <s v="O2054"/>
    <x v="3"/>
    <x v="0"/>
    <x v="3"/>
    <x v="3"/>
    <x v="0"/>
    <x v="13"/>
    <x v="229"/>
    <x v="233"/>
    <n v="3"/>
  </r>
  <r>
    <x v="960"/>
    <s v="O2055"/>
    <x v="6"/>
    <x v="0"/>
    <x v="0"/>
    <x v="6"/>
    <x v="2"/>
    <x v="34"/>
    <x v="229"/>
    <x v="233"/>
    <n v="2"/>
  </r>
  <r>
    <x v="961"/>
    <s v="O2056"/>
    <x v="3"/>
    <x v="0"/>
    <x v="3"/>
    <x v="3"/>
    <x v="0"/>
    <x v="13"/>
    <x v="229"/>
    <x v="233"/>
    <n v="3"/>
  </r>
  <r>
    <x v="962"/>
    <s v="O2057"/>
    <x v="6"/>
    <x v="0"/>
    <x v="0"/>
    <x v="6"/>
    <x v="2"/>
    <x v="34"/>
    <x v="229"/>
    <x v="233"/>
    <n v="3"/>
  </r>
  <r>
    <x v="963"/>
    <s v="O2058"/>
    <x v="4"/>
    <x v="0"/>
    <x v="0"/>
    <x v="4"/>
    <x v="0"/>
    <x v="9"/>
    <x v="230"/>
    <x v="231"/>
    <n v="1"/>
  </r>
  <r>
    <x v="964"/>
    <s v="O2059"/>
    <x v="4"/>
    <x v="0"/>
    <x v="0"/>
    <x v="4"/>
    <x v="0"/>
    <x v="9"/>
    <x v="230"/>
    <x v="231"/>
    <n v="2"/>
  </r>
  <r>
    <x v="965"/>
    <s v="O2060"/>
    <x v="4"/>
    <x v="0"/>
    <x v="0"/>
    <x v="4"/>
    <x v="0"/>
    <x v="9"/>
    <x v="230"/>
    <x v="231"/>
    <n v="3"/>
  </r>
  <r>
    <x v="966"/>
    <s v="O2061"/>
    <x v="11"/>
    <x v="1"/>
    <x v="0"/>
    <x v="10"/>
    <x v="0"/>
    <x v="35"/>
    <x v="231"/>
    <x v="236"/>
    <n v="1"/>
  </r>
  <r>
    <x v="967"/>
    <s v="O2062"/>
    <x v="11"/>
    <x v="1"/>
    <x v="0"/>
    <x v="10"/>
    <x v="0"/>
    <x v="35"/>
    <x v="231"/>
    <x v="236"/>
    <n v="2"/>
  </r>
  <r>
    <x v="968"/>
    <s v="O2063"/>
    <x v="11"/>
    <x v="1"/>
    <x v="0"/>
    <x v="10"/>
    <x v="0"/>
    <x v="35"/>
    <x v="231"/>
    <x v="236"/>
    <n v="4"/>
  </r>
  <r>
    <x v="969"/>
    <s v="O2064"/>
    <x v="5"/>
    <x v="0"/>
    <x v="3"/>
    <x v="5"/>
    <x v="0"/>
    <x v="17"/>
    <x v="232"/>
    <x v="237"/>
    <n v="4"/>
  </r>
  <r>
    <x v="970"/>
    <s v="O2065"/>
    <x v="4"/>
    <x v="0"/>
    <x v="0"/>
    <x v="4"/>
    <x v="0"/>
    <x v="9"/>
    <x v="232"/>
    <x v="234"/>
    <n v="2"/>
  </r>
  <r>
    <x v="971"/>
    <s v="O2066"/>
    <x v="5"/>
    <x v="0"/>
    <x v="3"/>
    <x v="5"/>
    <x v="0"/>
    <x v="17"/>
    <x v="232"/>
    <x v="237"/>
    <n v="2"/>
  </r>
  <r>
    <x v="972"/>
    <s v="O2067"/>
    <x v="4"/>
    <x v="0"/>
    <x v="0"/>
    <x v="4"/>
    <x v="0"/>
    <x v="9"/>
    <x v="232"/>
    <x v="234"/>
    <n v="3"/>
  </r>
  <r>
    <x v="973"/>
    <s v="O2068"/>
    <x v="2"/>
    <x v="0"/>
    <x v="0"/>
    <x v="2"/>
    <x v="1"/>
    <x v="14"/>
    <x v="233"/>
    <x v="238"/>
    <n v="2"/>
  </r>
  <r>
    <x v="974"/>
    <s v="O2069"/>
    <x v="5"/>
    <x v="0"/>
    <x v="0"/>
    <x v="5"/>
    <x v="0"/>
    <x v="14"/>
    <x v="233"/>
    <x v="239"/>
    <n v="4"/>
  </r>
  <r>
    <x v="975"/>
    <s v="O2070"/>
    <x v="2"/>
    <x v="0"/>
    <x v="0"/>
    <x v="2"/>
    <x v="1"/>
    <x v="14"/>
    <x v="233"/>
    <x v="238"/>
    <n v="2"/>
  </r>
  <r>
    <x v="976"/>
    <s v="O2071"/>
    <x v="5"/>
    <x v="0"/>
    <x v="0"/>
    <x v="5"/>
    <x v="0"/>
    <x v="14"/>
    <x v="233"/>
    <x v="239"/>
    <n v="2"/>
  </r>
  <r>
    <x v="977"/>
    <s v="O2072"/>
    <x v="5"/>
    <x v="0"/>
    <x v="0"/>
    <x v="5"/>
    <x v="0"/>
    <x v="14"/>
    <x v="233"/>
    <x v="239"/>
    <n v="3"/>
  </r>
  <r>
    <x v="978"/>
    <s v="O2073"/>
    <x v="3"/>
    <x v="0"/>
    <x v="3"/>
    <x v="3"/>
    <x v="0"/>
    <x v="13"/>
    <x v="234"/>
    <x v="240"/>
    <n v="4"/>
  </r>
  <r>
    <x v="979"/>
    <s v="O2074"/>
    <x v="5"/>
    <x v="0"/>
    <x v="0"/>
    <x v="5"/>
    <x v="0"/>
    <x v="14"/>
    <x v="234"/>
    <x v="241"/>
    <n v="3"/>
  </r>
  <r>
    <x v="980"/>
    <s v="O2075"/>
    <x v="3"/>
    <x v="0"/>
    <x v="3"/>
    <x v="3"/>
    <x v="0"/>
    <x v="13"/>
    <x v="234"/>
    <x v="240"/>
    <n v="3"/>
  </r>
  <r>
    <x v="981"/>
    <s v="O2076"/>
    <x v="5"/>
    <x v="0"/>
    <x v="0"/>
    <x v="5"/>
    <x v="0"/>
    <x v="14"/>
    <x v="234"/>
    <x v="241"/>
    <n v="2"/>
  </r>
  <r>
    <x v="982"/>
    <s v="O2077"/>
    <x v="2"/>
    <x v="0"/>
    <x v="3"/>
    <x v="2"/>
    <x v="2"/>
    <x v="17"/>
    <x v="235"/>
    <x v="242"/>
    <n v="3"/>
  </r>
  <r>
    <x v="983"/>
    <s v="O2078"/>
    <x v="10"/>
    <x v="1"/>
    <x v="3"/>
    <x v="8"/>
    <x v="0"/>
    <x v="4"/>
    <x v="235"/>
    <x v="241"/>
    <n v="3"/>
  </r>
  <r>
    <x v="984"/>
    <s v="O2079"/>
    <x v="2"/>
    <x v="0"/>
    <x v="3"/>
    <x v="2"/>
    <x v="0"/>
    <x v="5"/>
    <x v="235"/>
    <x v="240"/>
    <n v="3"/>
  </r>
  <r>
    <x v="985"/>
    <s v="O2080"/>
    <x v="2"/>
    <x v="0"/>
    <x v="3"/>
    <x v="2"/>
    <x v="2"/>
    <x v="17"/>
    <x v="235"/>
    <x v="242"/>
    <n v="1"/>
  </r>
  <r>
    <x v="986"/>
    <s v="O2081"/>
    <x v="10"/>
    <x v="1"/>
    <x v="3"/>
    <x v="8"/>
    <x v="0"/>
    <x v="4"/>
    <x v="235"/>
    <x v="241"/>
    <n v="1"/>
  </r>
  <r>
    <x v="987"/>
    <s v="O2082"/>
    <x v="2"/>
    <x v="0"/>
    <x v="3"/>
    <x v="2"/>
    <x v="0"/>
    <x v="5"/>
    <x v="235"/>
    <x v="240"/>
    <n v="1"/>
  </r>
  <r>
    <x v="988"/>
    <s v="O2083"/>
    <x v="2"/>
    <x v="0"/>
    <x v="0"/>
    <x v="2"/>
    <x v="1"/>
    <x v="14"/>
    <x v="236"/>
    <x v="240"/>
    <n v="3"/>
  </r>
  <r>
    <x v="989"/>
    <s v="O2084"/>
    <x v="2"/>
    <x v="0"/>
    <x v="0"/>
    <x v="2"/>
    <x v="1"/>
    <x v="14"/>
    <x v="236"/>
    <x v="240"/>
    <n v="1"/>
  </r>
  <r>
    <x v="990"/>
    <s v="O2085"/>
    <x v="5"/>
    <x v="0"/>
    <x v="2"/>
    <x v="5"/>
    <x v="0"/>
    <x v="28"/>
    <x v="237"/>
    <x v="242"/>
    <n v="1"/>
  </r>
  <r>
    <x v="991"/>
    <s v="O2086"/>
    <x v="2"/>
    <x v="0"/>
    <x v="0"/>
    <x v="2"/>
    <x v="0"/>
    <x v="2"/>
    <x v="237"/>
    <x v="240"/>
    <n v="3"/>
  </r>
  <r>
    <x v="992"/>
    <s v="O2087"/>
    <x v="5"/>
    <x v="0"/>
    <x v="2"/>
    <x v="5"/>
    <x v="0"/>
    <x v="28"/>
    <x v="237"/>
    <x v="242"/>
    <n v="3"/>
  </r>
  <r>
    <x v="993"/>
    <s v="O2088"/>
    <x v="2"/>
    <x v="0"/>
    <x v="0"/>
    <x v="2"/>
    <x v="0"/>
    <x v="2"/>
    <x v="237"/>
    <x v="240"/>
    <n v="2"/>
  </r>
  <r>
    <x v="994"/>
    <s v="O2089"/>
    <x v="2"/>
    <x v="0"/>
    <x v="0"/>
    <x v="2"/>
    <x v="0"/>
    <x v="2"/>
    <x v="237"/>
    <x v="240"/>
    <n v="2"/>
  </r>
  <r>
    <x v="995"/>
    <s v="O2090"/>
    <x v="3"/>
    <x v="0"/>
    <x v="0"/>
    <x v="3"/>
    <x v="1"/>
    <x v="2"/>
    <x v="238"/>
    <x v="243"/>
    <n v="4"/>
  </r>
  <r>
    <x v="996"/>
    <s v="O2091"/>
    <x v="3"/>
    <x v="0"/>
    <x v="0"/>
    <x v="3"/>
    <x v="1"/>
    <x v="2"/>
    <x v="238"/>
    <x v="243"/>
    <n v="2"/>
  </r>
  <r>
    <x v="997"/>
    <s v="O2092"/>
    <x v="3"/>
    <x v="0"/>
    <x v="0"/>
    <x v="3"/>
    <x v="1"/>
    <x v="2"/>
    <x v="238"/>
    <x v="243"/>
    <n v="4"/>
  </r>
  <r>
    <x v="998"/>
    <s v="O2093"/>
    <x v="5"/>
    <x v="0"/>
    <x v="1"/>
    <x v="5"/>
    <x v="1"/>
    <x v="50"/>
    <x v="239"/>
    <x v="244"/>
    <n v="4"/>
  </r>
  <r>
    <x v="999"/>
    <s v="O2094"/>
    <x v="3"/>
    <x v="0"/>
    <x v="3"/>
    <x v="3"/>
    <x v="0"/>
    <x v="13"/>
    <x v="239"/>
    <x v="245"/>
    <n v="2"/>
  </r>
  <r>
    <x v="1000"/>
    <s v="O2095"/>
    <x v="5"/>
    <x v="0"/>
    <x v="1"/>
    <x v="5"/>
    <x v="1"/>
    <x v="50"/>
    <x v="239"/>
    <x v="244"/>
    <n v="2"/>
  </r>
  <r>
    <x v="1001"/>
    <s v="O2096"/>
    <x v="3"/>
    <x v="0"/>
    <x v="3"/>
    <x v="3"/>
    <x v="0"/>
    <x v="13"/>
    <x v="239"/>
    <x v="245"/>
    <n v="1"/>
  </r>
  <r>
    <x v="1002"/>
    <s v="O2097"/>
    <x v="3"/>
    <x v="0"/>
    <x v="3"/>
    <x v="3"/>
    <x v="0"/>
    <x v="13"/>
    <x v="239"/>
    <x v="245"/>
    <n v="4"/>
  </r>
  <r>
    <x v="1003"/>
    <s v="O2098"/>
    <x v="2"/>
    <x v="0"/>
    <x v="0"/>
    <x v="2"/>
    <x v="1"/>
    <x v="14"/>
    <x v="240"/>
    <x v="245"/>
    <n v="1"/>
  </r>
  <r>
    <x v="1004"/>
    <s v="O2099"/>
    <x v="3"/>
    <x v="0"/>
    <x v="0"/>
    <x v="3"/>
    <x v="0"/>
    <x v="12"/>
    <x v="240"/>
    <x v="246"/>
    <n v="1"/>
  </r>
  <r>
    <x v="1005"/>
    <s v="O2100"/>
    <x v="4"/>
    <x v="0"/>
    <x v="0"/>
    <x v="4"/>
    <x v="0"/>
    <x v="9"/>
    <x v="240"/>
    <x v="245"/>
    <n v="2"/>
  </r>
  <r>
    <x v="1006"/>
    <s v="O2101"/>
    <x v="2"/>
    <x v="0"/>
    <x v="0"/>
    <x v="2"/>
    <x v="0"/>
    <x v="2"/>
    <x v="240"/>
    <x v="245"/>
    <n v="4"/>
  </r>
  <r>
    <x v="1007"/>
    <s v="O2102"/>
    <x v="2"/>
    <x v="0"/>
    <x v="0"/>
    <x v="2"/>
    <x v="1"/>
    <x v="14"/>
    <x v="240"/>
    <x v="245"/>
    <n v="1"/>
  </r>
  <r>
    <x v="1008"/>
    <s v="O2103"/>
    <x v="3"/>
    <x v="0"/>
    <x v="0"/>
    <x v="3"/>
    <x v="0"/>
    <x v="12"/>
    <x v="240"/>
    <x v="246"/>
    <n v="4"/>
  </r>
  <r>
    <x v="1009"/>
    <s v="O2104"/>
    <x v="4"/>
    <x v="0"/>
    <x v="0"/>
    <x v="4"/>
    <x v="0"/>
    <x v="9"/>
    <x v="240"/>
    <x v="245"/>
    <n v="2"/>
  </r>
  <r>
    <x v="1010"/>
    <s v="O2105"/>
    <x v="2"/>
    <x v="0"/>
    <x v="0"/>
    <x v="2"/>
    <x v="0"/>
    <x v="2"/>
    <x v="240"/>
    <x v="245"/>
    <n v="2"/>
  </r>
  <r>
    <x v="1011"/>
    <s v="O2106"/>
    <x v="3"/>
    <x v="0"/>
    <x v="0"/>
    <x v="3"/>
    <x v="0"/>
    <x v="12"/>
    <x v="240"/>
    <x v="246"/>
    <n v="1"/>
  </r>
  <r>
    <x v="1012"/>
    <s v="O2107"/>
    <x v="2"/>
    <x v="0"/>
    <x v="0"/>
    <x v="2"/>
    <x v="0"/>
    <x v="2"/>
    <x v="240"/>
    <x v="245"/>
    <n v="2"/>
  </r>
  <r>
    <x v="1013"/>
    <s v="O2108"/>
    <x v="4"/>
    <x v="0"/>
    <x v="0"/>
    <x v="4"/>
    <x v="0"/>
    <x v="9"/>
    <x v="241"/>
    <x v="247"/>
    <n v="2"/>
  </r>
  <r>
    <x v="1014"/>
    <s v="O2109"/>
    <x v="6"/>
    <x v="0"/>
    <x v="3"/>
    <x v="6"/>
    <x v="0"/>
    <x v="22"/>
    <x v="241"/>
    <x v="246"/>
    <n v="1"/>
  </r>
  <r>
    <x v="1015"/>
    <s v="O2110"/>
    <x v="9"/>
    <x v="0"/>
    <x v="0"/>
    <x v="9"/>
    <x v="1"/>
    <x v="25"/>
    <x v="241"/>
    <x v="248"/>
    <n v="3"/>
  </r>
  <r>
    <x v="1016"/>
    <s v="O2111"/>
    <x v="4"/>
    <x v="0"/>
    <x v="0"/>
    <x v="4"/>
    <x v="0"/>
    <x v="9"/>
    <x v="241"/>
    <x v="247"/>
    <n v="2"/>
  </r>
  <r>
    <x v="1017"/>
    <s v="O2112"/>
    <x v="6"/>
    <x v="0"/>
    <x v="3"/>
    <x v="6"/>
    <x v="0"/>
    <x v="22"/>
    <x v="241"/>
    <x v="246"/>
    <n v="2"/>
  </r>
  <r>
    <x v="1018"/>
    <s v="O2113"/>
    <x v="9"/>
    <x v="0"/>
    <x v="0"/>
    <x v="9"/>
    <x v="1"/>
    <x v="25"/>
    <x v="241"/>
    <x v="248"/>
    <n v="3"/>
  </r>
  <r>
    <x v="1019"/>
    <s v="O2114"/>
    <x v="9"/>
    <x v="0"/>
    <x v="0"/>
    <x v="9"/>
    <x v="1"/>
    <x v="25"/>
    <x v="241"/>
    <x v="248"/>
    <n v="3"/>
  </r>
  <r>
    <x v="1020"/>
    <s v="O2115"/>
    <x v="3"/>
    <x v="0"/>
    <x v="0"/>
    <x v="3"/>
    <x v="0"/>
    <x v="12"/>
    <x v="242"/>
    <x v="249"/>
    <n v="2"/>
  </r>
  <r>
    <x v="1021"/>
    <s v="O2116"/>
    <x v="3"/>
    <x v="0"/>
    <x v="0"/>
    <x v="3"/>
    <x v="0"/>
    <x v="12"/>
    <x v="242"/>
    <x v="249"/>
    <n v="1"/>
  </r>
  <r>
    <x v="1022"/>
    <s v="O2117"/>
    <x v="3"/>
    <x v="0"/>
    <x v="0"/>
    <x v="3"/>
    <x v="1"/>
    <x v="2"/>
    <x v="243"/>
    <x v="248"/>
    <n v="1"/>
  </r>
  <r>
    <x v="1023"/>
    <s v="O2118"/>
    <x v="4"/>
    <x v="0"/>
    <x v="0"/>
    <x v="4"/>
    <x v="0"/>
    <x v="9"/>
    <x v="243"/>
    <x v="250"/>
    <n v="1"/>
  </r>
  <r>
    <x v="1024"/>
    <s v="O2119"/>
    <x v="2"/>
    <x v="0"/>
    <x v="3"/>
    <x v="2"/>
    <x v="0"/>
    <x v="5"/>
    <x v="243"/>
    <x v="247"/>
    <n v="3"/>
  </r>
  <r>
    <x v="1025"/>
    <s v="O2120"/>
    <x v="3"/>
    <x v="0"/>
    <x v="0"/>
    <x v="3"/>
    <x v="1"/>
    <x v="2"/>
    <x v="243"/>
    <x v="248"/>
    <n v="3"/>
  </r>
  <r>
    <x v="1026"/>
    <s v="O2121"/>
    <x v="4"/>
    <x v="0"/>
    <x v="0"/>
    <x v="4"/>
    <x v="0"/>
    <x v="9"/>
    <x v="243"/>
    <x v="250"/>
    <n v="1"/>
  </r>
  <r>
    <x v="1027"/>
    <s v="O2122"/>
    <x v="2"/>
    <x v="0"/>
    <x v="3"/>
    <x v="2"/>
    <x v="0"/>
    <x v="5"/>
    <x v="243"/>
    <x v="247"/>
    <n v="2"/>
  </r>
  <r>
    <x v="1028"/>
    <s v="O2123"/>
    <x v="4"/>
    <x v="0"/>
    <x v="3"/>
    <x v="4"/>
    <x v="1"/>
    <x v="28"/>
    <x v="244"/>
    <x v="251"/>
    <n v="1"/>
  </r>
  <r>
    <x v="1029"/>
    <s v="O2124"/>
    <x v="4"/>
    <x v="0"/>
    <x v="3"/>
    <x v="4"/>
    <x v="1"/>
    <x v="28"/>
    <x v="244"/>
    <x v="251"/>
    <n v="1"/>
  </r>
  <r>
    <x v="1030"/>
    <s v="O2125"/>
    <x v="2"/>
    <x v="0"/>
    <x v="0"/>
    <x v="2"/>
    <x v="0"/>
    <x v="2"/>
    <x v="245"/>
    <x v="252"/>
    <n v="3"/>
  </r>
  <r>
    <x v="1031"/>
    <s v="O2126"/>
    <x v="2"/>
    <x v="0"/>
    <x v="0"/>
    <x v="2"/>
    <x v="0"/>
    <x v="2"/>
    <x v="245"/>
    <x v="252"/>
    <n v="4"/>
  </r>
  <r>
    <x v="1032"/>
    <s v="O2127"/>
    <x v="2"/>
    <x v="0"/>
    <x v="0"/>
    <x v="2"/>
    <x v="0"/>
    <x v="2"/>
    <x v="245"/>
    <x v="252"/>
    <n v="4"/>
  </r>
  <r>
    <x v="1033"/>
    <s v="O2128"/>
    <x v="2"/>
    <x v="0"/>
    <x v="0"/>
    <x v="2"/>
    <x v="1"/>
    <x v="14"/>
    <x v="246"/>
    <x v="251"/>
    <n v="4"/>
  </r>
  <r>
    <x v="1034"/>
    <s v="O2129"/>
    <x v="9"/>
    <x v="0"/>
    <x v="0"/>
    <x v="9"/>
    <x v="0"/>
    <x v="16"/>
    <x v="246"/>
    <x v="253"/>
    <n v="1"/>
  </r>
  <r>
    <x v="1035"/>
    <s v="O2130"/>
    <x v="2"/>
    <x v="0"/>
    <x v="0"/>
    <x v="2"/>
    <x v="1"/>
    <x v="14"/>
    <x v="246"/>
    <x v="251"/>
    <n v="3"/>
  </r>
  <r>
    <x v="1036"/>
    <s v="O2131"/>
    <x v="9"/>
    <x v="0"/>
    <x v="0"/>
    <x v="9"/>
    <x v="0"/>
    <x v="16"/>
    <x v="246"/>
    <x v="253"/>
    <n v="4"/>
  </r>
  <r>
    <x v="1037"/>
    <s v="O2132"/>
    <x v="0"/>
    <x v="0"/>
    <x v="0"/>
    <x v="0"/>
    <x v="1"/>
    <x v="43"/>
    <x v="247"/>
    <x v="254"/>
    <n v="1"/>
  </r>
  <r>
    <x v="1038"/>
    <s v="O2133"/>
    <x v="0"/>
    <x v="0"/>
    <x v="0"/>
    <x v="0"/>
    <x v="1"/>
    <x v="43"/>
    <x v="247"/>
    <x v="254"/>
    <n v="2"/>
  </r>
  <r>
    <x v="1039"/>
    <s v="O2134"/>
    <x v="3"/>
    <x v="0"/>
    <x v="0"/>
    <x v="3"/>
    <x v="0"/>
    <x v="12"/>
    <x v="248"/>
    <x v="255"/>
    <n v="1"/>
  </r>
  <r>
    <x v="1040"/>
    <s v="O2135"/>
    <x v="3"/>
    <x v="0"/>
    <x v="0"/>
    <x v="3"/>
    <x v="0"/>
    <x v="12"/>
    <x v="248"/>
    <x v="255"/>
    <n v="4"/>
  </r>
  <r>
    <x v="1041"/>
    <s v="O2136"/>
    <x v="2"/>
    <x v="0"/>
    <x v="0"/>
    <x v="2"/>
    <x v="1"/>
    <x v="14"/>
    <x v="249"/>
    <x v="256"/>
    <n v="4"/>
  </r>
  <r>
    <x v="1042"/>
    <s v="O2137"/>
    <x v="4"/>
    <x v="0"/>
    <x v="0"/>
    <x v="4"/>
    <x v="0"/>
    <x v="9"/>
    <x v="249"/>
    <x v="257"/>
    <n v="1"/>
  </r>
  <r>
    <x v="1043"/>
    <s v="O2138"/>
    <x v="5"/>
    <x v="0"/>
    <x v="0"/>
    <x v="5"/>
    <x v="1"/>
    <x v="10"/>
    <x v="249"/>
    <x v="258"/>
    <n v="1"/>
  </r>
  <r>
    <x v="1044"/>
    <s v="O2139"/>
    <x v="3"/>
    <x v="0"/>
    <x v="0"/>
    <x v="3"/>
    <x v="2"/>
    <x v="14"/>
    <x v="249"/>
    <x v="259"/>
    <n v="3"/>
  </r>
  <r>
    <x v="1045"/>
    <s v="O2140"/>
    <x v="2"/>
    <x v="0"/>
    <x v="3"/>
    <x v="2"/>
    <x v="0"/>
    <x v="5"/>
    <x v="249"/>
    <x v="260"/>
    <n v="3"/>
  </r>
  <r>
    <x v="1046"/>
    <s v="O2141"/>
    <x v="2"/>
    <x v="0"/>
    <x v="0"/>
    <x v="2"/>
    <x v="2"/>
    <x v="10"/>
    <x v="249"/>
    <x v="256"/>
    <n v="1"/>
  </r>
  <r>
    <x v="1047"/>
    <s v="O2142"/>
    <x v="3"/>
    <x v="0"/>
    <x v="0"/>
    <x v="3"/>
    <x v="2"/>
    <x v="14"/>
    <x v="249"/>
    <x v="256"/>
    <n v="4"/>
  </r>
  <r>
    <x v="1048"/>
    <s v="O2143"/>
    <x v="2"/>
    <x v="0"/>
    <x v="0"/>
    <x v="2"/>
    <x v="1"/>
    <x v="14"/>
    <x v="249"/>
    <x v="256"/>
    <n v="1"/>
  </r>
  <r>
    <x v="1049"/>
    <s v="O2144"/>
    <x v="4"/>
    <x v="0"/>
    <x v="0"/>
    <x v="4"/>
    <x v="0"/>
    <x v="9"/>
    <x v="249"/>
    <x v="257"/>
    <n v="2"/>
  </r>
  <r>
    <x v="1050"/>
    <s v="O2145"/>
    <x v="5"/>
    <x v="0"/>
    <x v="0"/>
    <x v="5"/>
    <x v="1"/>
    <x v="10"/>
    <x v="249"/>
    <x v="258"/>
    <n v="3"/>
  </r>
  <r>
    <x v="1051"/>
    <s v="O2146"/>
    <x v="3"/>
    <x v="0"/>
    <x v="0"/>
    <x v="3"/>
    <x v="2"/>
    <x v="14"/>
    <x v="249"/>
    <x v="259"/>
    <n v="3"/>
  </r>
  <r>
    <x v="1052"/>
    <s v="O2147"/>
    <x v="2"/>
    <x v="0"/>
    <x v="3"/>
    <x v="2"/>
    <x v="0"/>
    <x v="5"/>
    <x v="249"/>
    <x v="260"/>
    <n v="3"/>
  </r>
  <r>
    <x v="1053"/>
    <s v="O2148"/>
    <x v="2"/>
    <x v="0"/>
    <x v="0"/>
    <x v="2"/>
    <x v="2"/>
    <x v="10"/>
    <x v="249"/>
    <x v="256"/>
    <n v="1"/>
  </r>
  <r>
    <x v="1054"/>
    <s v="O2149"/>
    <x v="3"/>
    <x v="0"/>
    <x v="0"/>
    <x v="3"/>
    <x v="2"/>
    <x v="14"/>
    <x v="249"/>
    <x v="256"/>
    <n v="4"/>
  </r>
  <r>
    <x v="1055"/>
    <s v="O2150"/>
    <x v="2"/>
    <x v="0"/>
    <x v="2"/>
    <x v="2"/>
    <x v="1"/>
    <x v="51"/>
    <x v="250"/>
    <x v="261"/>
    <n v="2"/>
  </r>
  <r>
    <x v="1056"/>
    <s v="O2151"/>
    <x v="3"/>
    <x v="0"/>
    <x v="0"/>
    <x v="3"/>
    <x v="1"/>
    <x v="2"/>
    <x v="250"/>
    <x v="259"/>
    <n v="3"/>
  </r>
  <r>
    <x v="1057"/>
    <s v="O2152"/>
    <x v="2"/>
    <x v="0"/>
    <x v="2"/>
    <x v="2"/>
    <x v="1"/>
    <x v="51"/>
    <x v="250"/>
    <x v="261"/>
    <n v="3"/>
  </r>
  <r>
    <x v="1058"/>
    <s v="O2153"/>
    <x v="3"/>
    <x v="0"/>
    <x v="0"/>
    <x v="3"/>
    <x v="1"/>
    <x v="2"/>
    <x v="250"/>
    <x v="259"/>
    <n v="4"/>
  </r>
  <r>
    <x v="1059"/>
    <s v="O2154"/>
    <x v="2"/>
    <x v="0"/>
    <x v="0"/>
    <x v="2"/>
    <x v="2"/>
    <x v="10"/>
    <x v="251"/>
    <x v="257"/>
    <n v="2"/>
  </r>
  <r>
    <x v="1060"/>
    <s v="O2155"/>
    <x v="7"/>
    <x v="1"/>
    <x v="0"/>
    <x v="7"/>
    <x v="2"/>
    <x v="16"/>
    <x v="251"/>
    <x v="262"/>
    <n v="1"/>
  </r>
  <r>
    <x v="1061"/>
    <s v="O2156"/>
    <x v="10"/>
    <x v="1"/>
    <x v="0"/>
    <x v="8"/>
    <x v="0"/>
    <x v="18"/>
    <x v="251"/>
    <x v="263"/>
    <n v="1"/>
  </r>
  <r>
    <x v="1062"/>
    <s v="O2157"/>
    <x v="2"/>
    <x v="0"/>
    <x v="0"/>
    <x v="2"/>
    <x v="0"/>
    <x v="2"/>
    <x v="251"/>
    <x v="262"/>
    <n v="4"/>
  </r>
  <r>
    <x v="1063"/>
    <s v="O2158"/>
    <x v="2"/>
    <x v="0"/>
    <x v="0"/>
    <x v="2"/>
    <x v="2"/>
    <x v="10"/>
    <x v="251"/>
    <x v="257"/>
    <n v="4"/>
  </r>
  <r>
    <x v="1064"/>
    <s v="O2159"/>
    <x v="7"/>
    <x v="1"/>
    <x v="0"/>
    <x v="7"/>
    <x v="2"/>
    <x v="16"/>
    <x v="251"/>
    <x v="262"/>
    <n v="2"/>
  </r>
  <r>
    <x v="1065"/>
    <s v="O2160"/>
    <x v="10"/>
    <x v="1"/>
    <x v="0"/>
    <x v="8"/>
    <x v="0"/>
    <x v="18"/>
    <x v="251"/>
    <x v="263"/>
    <n v="2"/>
  </r>
  <r>
    <x v="1066"/>
    <s v="O2161"/>
    <x v="2"/>
    <x v="0"/>
    <x v="0"/>
    <x v="2"/>
    <x v="0"/>
    <x v="2"/>
    <x v="251"/>
    <x v="262"/>
    <n v="3"/>
  </r>
  <r>
    <x v="1067"/>
    <s v="O2162"/>
    <x v="8"/>
    <x v="1"/>
    <x v="0"/>
    <x v="8"/>
    <x v="0"/>
    <x v="18"/>
    <x v="252"/>
    <x v="264"/>
    <n v="4"/>
  </r>
  <r>
    <x v="1068"/>
    <s v="O2163"/>
    <x v="2"/>
    <x v="0"/>
    <x v="3"/>
    <x v="2"/>
    <x v="0"/>
    <x v="5"/>
    <x v="252"/>
    <x v="264"/>
    <n v="3"/>
  </r>
  <r>
    <x v="1069"/>
    <s v="O2164"/>
    <x v="8"/>
    <x v="1"/>
    <x v="0"/>
    <x v="8"/>
    <x v="0"/>
    <x v="18"/>
    <x v="252"/>
    <x v="264"/>
    <n v="1"/>
  </r>
  <r>
    <x v="1070"/>
    <s v="O2165"/>
    <x v="2"/>
    <x v="0"/>
    <x v="3"/>
    <x v="2"/>
    <x v="0"/>
    <x v="5"/>
    <x v="252"/>
    <x v="264"/>
    <n v="1"/>
  </r>
  <r>
    <x v="1071"/>
    <s v="O2166"/>
    <x v="3"/>
    <x v="0"/>
    <x v="0"/>
    <x v="3"/>
    <x v="0"/>
    <x v="12"/>
    <x v="253"/>
    <x v="263"/>
    <n v="1"/>
  </r>
  <r>
    <x v="1072"/>
    <s v="O2167"/>
    <x v="3"/>
    <x v="0"/>
    <x v="0"/>
    <x v="3"/>
    <x v="0"/>
    <x v="12"/>
    <x v="253"/>
    <x v="263"/>
    <n v="3"/>
  </r>
  <r>
    <x v="1073"/>
    <s v="O2168"/>
    <x v="2"/>
    <x v="0"/>
    <x v="2"/>
    <x v="2"/>
    <x v="0"/>
    <x v="20"/>
    <x v="254"/>
    <x v="264"/>
    <n v="3"/>
  </r>
  <r>
    <x v="1074"/>
    <s v="O2169"/>
    <x v="2"/>
    <x v="0"/>
    <x v="2"/>
    <x v="2"/>
    <x v="0"/>
    <x v="20"/>
    <x v="254"/>
    <x v="264"/>
    <n v="4"/>
  </r>
  <r>
    <x v="1075"/>
    <s v="O2170"/>
    <x v="2"/>
    <x v="0"/>
    <x v="0"/>
    <x v="2"/>
    <x v="0"/>
    <x v="2"/>
    <x v="255"/>
    <x v="263"/>
    <n v="3"/>
  </r>
  <r>
    <x v="1076"/>
    <s v="O2171"/>
    <x v="6"/>
    <x v="0"/>
    <x v="0"/>
    <x v="6"/>
    <x v="0"/>
    <x v="26"/>
    <x v="255"/>
    <x v="264"/>
    <n v="3"/>
  </r>
  <r>
    <x v="1077"/>
    <s v="O2172"/>
    <x v="11"/>
    <x v="1"/>
    <x v="0"/>
    <x v="10"/>
    <x v="1"/>
    <x v="16"/>
    <x v="255"/>
    <x v="265"/>
    <n v="2"/>
  </r>
  <r>
    <x v="1078"/>
    <s v="O2173"/>
    <x v="2"/>
    <x v="0"/>
    <x v="0"/>
    <x v="2"/>
    <x v="0"/>
    <x v="2"/>
    <x v="255"/>
    <x v="263"/>
    <n v="4"/>
  </r>
  <r>
    <x v="1079"/>
    <s v="O2174"/>
    <x v="6"/>
    <x v="0"/>
    <x v="0"/>
    <x v="6"/>
    <x v="0"/>
    <x v="26"/>
    <x v="255"/>
    <x v="264"/>
    <n v="3"/>
  </r>
  <r>
    <x v="1080"/>
    <s v="O2175"/>
    <x v="11"/>
    <x v="1"/>
    <x v="0"/>
    <x v="10"/>
    <x v="1"/>
    <x v="16"/>
    <x v="255"/>
    <x v="265"/>
    <n v="4"/>
  </r>
  <r>
    <x v="1081"/>
    <s v="O2176"/>
    <x v="4"/>
    <x v="0"/>
    <x v="0"/>
    <x v="4"/>
    <x v="1"/>
    <x v="7"/>
    <x v="256"/>
    <x v="265"/>
    <n v="4"/>
  </r>
  <r>
    <x v="1082"/>
    <s v="O2177"/>
    <x v="4"/>
    <x v="0"/>
    <x v="0"/>
    <x v="4"/>
    <x v="1"/>
    <x v="7"/>
    <x v="256"/>
    <x v="265"/>
    <n v="1"/>
  </r>
  <r>
    <x v="1083"/>
    <m/>
    <x v="12"/>
    <x v="2"/>
    <x v="4"/>
    <x v="11"/>
    <x v="3"/>
    <x v="52"/>
    <x v="257"/>
    <x v="266"/>
    <m/>
  </r>
</pivotCacheRecords>
</file>

<file path=xl/pivotCache/pivotCacheRecords2.xml><?xml version="1.0" encoding="utf-8"?>
<pivotCacheRecords xmlns="http://schemas.openxmlformats.org/spreadsheetml/2006/main" xmlns:r="http://schemas.openxmlformats.org/officeDocument/2006/relationships" count="1083">
  <r>
    <s v="C1095"/>
    <s v="O1095"/>
    <s v="Ti-84 Plus C Se"/>
    <x v="0"/>
    <n v="1"/>
    <n v="160"/>
    <n v="0"/>
    <n v="160"/>
    <x v="0"/>
    <s v=" 5/1/2023"/>
    <n v="1"/>
  </r>
  <r>
    <s v="C1096"/>
    <s v="O1096"/>
    <s v="Ti-84 Plus C Se"/>
    <x v="0"/>
    <n v="1"/>
    <n v="160"/>
    <n v="0"/>
    <n v="160"/>
    <x v="0"/>
    <s v=" 5/1/2023"/>
    <n v="3"/>
  </r>
  <r>
    <s v="C1097"/>
    <s v="O1097"/>
    <s v="Ti-83 Plus SE"/>
    <x v="0"/>
    <n v="1"/>
    <n v="90"/>
    <n v="0"/>
    <n v="90"/>
    <x v="1"/>
    <s v=" 10/1/2023"/>
    <n v="1"/>
  </r>
  <r>
    <s v="C1098"/>
    <s v="O1098"/>
    <s v="ti-84 plus ce"/>
    <x v="0"/>
    <n v="1"/>
    <n v="130"/>
    <n v="0"/>
    <n v="130"/>
    <x v="1"/>
    <s v=" 9/1/2023"/>
    <n v="4"/>
  </r>
  <r>
    <s v="C1099"/>
    <s v="O1099"/>
    <s v="ti-84 plus ce"/>
    <x v="0"/>
    <n v="4"/>
    <n v="130"/>
    <n v="0"/>
    <n v="520"/>
    <x v="1"/>
    <s v=" 7/1/2023"/>
    <n v="1"/>
  </r>
  <r>
    <s v="C1100"/>
    <s v="O1100"/>
    <s v="Ti-83 Plus SE"/>
    <x v="0"/>
    <n v="1"/>
    <n v="90"/>
    <n v="0"/>
    <n v="90"/>
    <x v="1"/>
    <s v=" 10/1/2023"/>
    <n v="4"/>
  </r>
  <r>
    <s v="C1101"/>
    <s v="O1101"/>
    <s v="ti-84 plus ce"/>
    <x v="0"/>
    <n v="1"/>
    <n v="130"/>
    <n v="0"/>
    <n v="130"/>
    <x v="1"/>
    <s v=" 9/1/2023"/>
    <n v="2"/>
  </r>
  <r>
    <s v="C1102"/>
    <s v="O1102"/>
    <s v="ti-84 plus ce"/>
    <x v="0"/>
    <n v="4"/>
    <n v="130"/>
    <n v="0"/>
    <n v="520"/>
    <x v="1"/>
    <s v=" 7/1/2023"/>
    <n v="2"/>
  </r>
  <r>
    <s v="C1103"/>
    <s v="O1103"/>
    <s v="ti-84 plus ce"/>
    <x v="0"/>
    <n v="4"/>
    <n v="130"/>
    <n v="0"/>
    <n v="520"/>
    <x v="1"/>
    <s v=" 7/1/2023"/>
    <n v="3"/>
  </r>
  <r>
    <s v="C1104"/>
    <s v="O1104"/>
    <s v="TI-84 PLUS CE PYTHON"/>
    <x v="0"/>
    <n v="3"/>
    <n v="135"/>
    <n v="5"/>
    <n v="400"/>
    <x v="2"/>
    <s v=" 6/1/2023"/>
    <n v="1"/>
  </r>
  <r>
    <s v="C1105"/>
    <s v="O1105"/>
    <s v="ti-84 plus ce"/>
    <x v="0"/>
    <n v="1"/>
    <n v="130"/>
    <n v="0"/>
    <n v="130"/>
    <x v="2"/>
    <s v=" 6/1/2023"/>
    <n v="4"/>
  </r>
  <r>
    <s v="C1106"/>
    <s v="O1106"/>
    <s v="TI-84 PLUS CE PYTHON"/>
    <x v="0"/>
    <n v="3"/>
    <n v="135"/>
    <n v="5"/>
    <n v="400"/>
    <x v="2"/>
    <s v=" 6/1/2023"/>
    <n v="2"/>
  </r>
  <r>
    <s v="C1107"/>
    <s v="O1107"/>
    <s v="ti-84 plus ce"/>
    <x v="0"/>
    <n v="1"/>
    <n v="130"/>
    <n v="0"/>
    <n v="130"/>
    <x v="2"/>
    <s v=" 6/1/2023"/>
    <n v="2"/>
  </r>
  <r>
    <s v="C1108"/>
    <s v="O1108"/>
    <s v="ti-84 plus ce"/>
    <x v="0"/>
    <n v="1"/>
    <n v="130"/>
    <n v="0"/>
    <n v="130"/>
    <x v="2"/>
    <s v=" 6/1/2023"/>
    <n v="3"/>
  </r>
  <r>
    <s v="C1109"/>
    <s v="O1109"/>
    <s v="ti-84 plus ce"/>
    <x v="0"/>
    <n v="2"/>
    <n v="130"/>
    <n v="0"/>
    <n v="260"/>
    <x v="3"/>
    <s v=" 12/1/2023"/>
    <n v="3"/>
  </r>
  <r>
    <s v="C1110"/>
    <s v="O1110"/>
    <s v="ti-84 plus ce"/>
    <x v="0"/>
    <n v="2"/>
    <n v="130"/>
    <n v="0"/>
    <n v="260"/>
    <x v="3"/>
    <s v=" 12/1/2023"/>
    <n v="3"/>
  </r>
  <r>
    <s v="C1111"/>
    <s v="O1111"/>
    <s v="ti-nspire cx"/>
    <x v="0"/>
    <n v="2"/>
    <n v="190"/>
    <n v="10"/>
    <n v="370"/>
    <x v="4"/>
    <s v=" 12/1/2023"/>
    <n v="3"/>
  </r>
  <r>
    <s v="C1112"/>
    <s v="O1112"/>
    <s v="ti-nspire cx"/>
    <x v="0"/>
    <n v="1"/>
    <n v="190"/>
    <n v="5"/>
    <n v="185"/>
    <x v="4"/>
    <s v=" 12/1/2023"/>
    <n v="1"/>
  </r>
  <r>
    <s v="C1113"/>
    <s v="O1113"/>
    <s v="ti-nspire cx"/>
    <x v="0"/>
    <n v="2"/>
    <n v="190"/>
    <n v="10"/>
    <n v="370"/>
    <x v="4"/>
    <s v=" 12/1/2023"/>
    <n v="3"/>
  </r>
  <r>
    <s v="C1114"/>
    <s v="O1114"/>
    <s v="ti-nspire cx"/>
    <x v="0"/>
    <n v="1"/>
    <n v="190"/>
    <n v="5"/>
    <n v="185"/>
    <x v="4"/>
    <s v=" 12/1/2023"/>
    <n v="2"/>
  </r>
  <r>
    <s v="C1115"/>
    <s v="O1115"/>
    <s v="ti-nspire cx"/>
    <x v="0"/>
    <n v="2"/>
    <n v="190"/>
    <n v="10"/>
    <n v="370"/>
    <x v="4"/>
    <s v=" 12/1/2023"/>
    <n v="3"/>
  </r>
  <r>
    <s v="C1116"/>
    <s v="O1116"/>
    <s v="ti-84 plus ce"/>
    <x v="0"/>
    <n v="1"/>
    <n v="130"/>
    <n v="0"/>
    <n v="130"/>
    <x v="5"/>
    <s v=" 12/1/2023"/>
    <n v="1"/>
  </r>
  <r>
    <s v="C1117"/>
    <s v="O1117"/>
    <s v="ti-nspire cx"/>
    <x v="0"/>
    <n v="2"/>
    <n v="190"/>
    <n v="0"/>
    <n v="380"/>
    <x v="5"/>
    <s v=" 16/1/2023"/>
    <n v="1"/>
  </r>
  <r>
    <s v="C1118"/>
    <s v="O1118"/>
    <s v="ti-nspire cx"/>
    <x v="0"/>
    <n v="1"/>
    <n v="190"/>
    <n v="0"/>
    <n v="190"/>
    <x v="5"/>
    <s v=" 14/1/2023"/>
    <n v="2"/>
  </r>
  <r>
    <s v="C1119"/>
    <s v="O1119"/>
    <s v="ti-84 plus ce"/>
    <x v="0"/>
    <n v="1"/>
    <n v="130"/>
    <n v="0"/>
    <n v="130"/>
    <x v="5"/>
    <s v=" 12/1/2023"/>
    <n v="1"/>
  </r>
  <r>
    <s v="C1120"/>
    <s v="O1120"/>
    <s v="ti-nspire cx"/>
    <x v="0"/>
    <n v="2"/>
    <n v="190"/>
    <n v="0"/>
    <n v="380"/>
    <x v="5"/>
    <s v=" 16/1/2023"/>
    <n v="4"/>
  </r>
  <r>
    <s v="C1121"/>
    <s v="O1121"/>
    <s v="ti-nspire cx"/>
    <x v="0"/>
    <n v="1"/>
    <n v="190"/>
    <n v="0"/>
    <n v="190"/>
    <x v="5"/>
    <s v=" 14/1/2023"/>
    <n v="3"/>
  </r>
  <r>
    <s v="C1122"/>
    <s v="O1122"/>
    <s v="ti-84 plus"/>
    <x v="0"/>
    <n v="1"/>
    <n v="125"/>
    <n v="5"/>
    <n v="120"/>
    <x v="6"/>
    <s v=" 17/1/2023"/>
    <n v="3"/>
  </r>
  <r>
    <s v="C1123"/>
    <s v="O1123"/>
    <s v="ti-84 plus"/>
    <x v="0"/>
    <n v="1"/>
    <n v="125"/>
    <n v="5"/>
    <n v="120"/>
    <x v="6"/>
    <s v=" 17/1/2023"/>
    <n v="4"/>
  </r>
  <r>
    <s v="C1124"/>
    <s v="O1124"/>
    <s v="TI-84 PLUS CE PYTHON"/>
    <x v="0"/>
    <n v="2"/>
    <n v="135"/>
    <n v="5"/>
    <n v="265"/>
    <x v="7"/>
    <s v=" 15/1/2023"/>
    <n v="4"/>
  </r>
  <r>
    <s v="C1125"/>
    <s v="O1125"/>
    <s v="TI-84 PLUS CE PYTHON"/>
    <x v="0"/>
    <n v="2"/>
    <n v="135"/>
    <n v="5"/>
    <n v="265"/>
    <x v="7"/>
    <s v=" 15/1/2023"/>
    <n v="2"/>
  </r>
  <r>
    <s v="C1126"/>
    <s v="O1126"/>
    <s v="ti-84 plus ce"/>
    <x v="0"/>
    <n v="1"/>
    <n v="130"/>
    <n v="0"/>
    <n v="130"/>
    <x v="8"/>
    <s v=" 14/1/2023"/>
    <n v="3"/>
  </r>
  <r>
    <s v="C1127"/>
    <s v="O1127"/>
    <s v="ti-84 plus ce"/>
    <x v="0"/>
    <n v="1"/>
    <n v="130"/>
    <n v="0"/>
    <n v="130"/>
    <x v="8"/>
    <s v=" 19/1/2023"/>
    <n v="1"/>
  </r>
  <r>
    <s v="C1128"/>
    <s v="O1128"/>
    <s v="TI-84 PLUS CE PYTHON"/>
    <x v="0"/>
    <n v="1"/>
    <n v="135"/>
    <n v="0"/>
    <n v="135"/>
    <x v="8"/>
    <s v=" 19/1/2023"/>
    <n v="1"/>
  </r>
  <r>
    <s v="C1129"/>
    <s v="O1129"/>
    <s v="ti-84 plus ce"/>
    <x v="0"/>
    <n v="1"/>
    <n v="130"/>
    <n v="0"/>
    <n v="130"/>
    <x v="8"/>
    <s v=" 14/1/2023"/>
    <n v="4"/>
  </r>
  <r>
    <s v="C1130"/>
    <s v="O1130"/>
    <s v="ti-84 plus ce"/>
    <x v="0"/>
    <n v="1"/>
    <n v="130"/>
    <n v="0"/>
    <n v="130"/>
    <x v="8"/>
    <s v=" 19/1/2023"/>
    <n v="3"/>
  </r>
  <r>
    <s v="C1131"/>
    <s v="O1131"/>
    <s v="TI-84 PLUS CE PYTHON"/>
    <x v="0"/>
    <n v="1"/>
    <n v="135"/>
    <n v="0"/>
    <n v="135"/>
    <x v="8"/>
    <s v=" 19/1/2023"/>
    <n v="1"/>
  </r>
  <r>
    <s v="C1132"/>
    <s v="O1132"/>
    <s v="ti-84 plus ce"/>
    <x v="0"/>
    <n v="1"/>
    <n v="130"/>
    <n v="0"/>
    <n v="130"/>
    <x v="8"/>
    <s v=" 19/1/2023"/>
    <n v="3"/>
  </r>
  <r>
    <s v="C1133"/>
    <s v="O1133"/>
    <s v="TI-83 plus"/>
    <x v="0"/>
    <n v="2"/>
    <n v="85"/>
    <n v="10"/>
    <n v="160"/>
    <x v="9"/>
    <s v=" 20/1/2023"/>
    <n v="3"/>
  </r>
  <r>
    <s v="C1134"/>
    <s v="O1134"/>
    <s v="TI-84 PLUS CE PYTHON"/>
    <x v="0"/>
    <n v="2"/>
    <n v="135"/>
    <n v="0"/>
    <n v="270"/>
    <x v="9"/>
    <s v=" 15/1/2023"/>
    <n v="3"/>
  </r>
  <r>
    <s v="C1135"/>
    <s v="O1135"/>
    <s v="TI-83 plus"/>
    <x v="0"/>
    <n v="2"/>
    <n v="85"/>
    <n v="10"/>
    <n v="160"/>
    <x v="9"/>
    <s v=" 20/1/2023"/>
    <n v="3"/>
  </r>
  <r>
    <s v="C1136"/>
    <s v="O1136"/>
    <s v="TI-84 PLUS CE PYTHON"/>
    <x v="0"/>
    <n v="2"/>
    <n v="135"/>
    <n v="0"/>
    <n v="270"/>
    <x v="9"/>
    <s v=" 15/1/2023"/>
    <n v="1"/>
  </r>
  <r>
    <s v="C1137"/>
    <s v="O1137"/>
    <s v="TI-84 PLUS CE PYTHON"/>
    <x v="0"/>
    <n v="1"/>
    <n v="135"/>
    <n v="10"/>
    <n v="125"/>
    <x v="10"/>
    <s v=" 20/1/2023"/>
    <n v="1"/>
  </r>
  <r>
    <s v="C1138"/>
    <s v="O1138"/>
    <s v="ti-84 plus ce"/>
    <x v="0"/>
    <n v="2"/>
    <n v="130"/>
    <n v="5"/>
    <n v="255"/>
    <x v="10"/>
    <s v=" 22/1/2023"/>
    <n v="3"/>
  </r>
  <r>
    <s v="C1139"/>
    <s v="O1139"/>
    <s v="TI-84 PLUS CE PYTHON"/>
    <x v="0"/>
    <n v="1"/>
    <n v="135"/>
    <n v="10"/>
    <n v="125"/>
    <x v="10"/>
    <s v=" 20/1/2023"/>
    <n v="1"/>
  </r>
  <r>
    <s v="C1140"/>
    <s v="O1140"/>
    <s v="ti-84 plus ce"/>
    <x v="0"/>
    <n v="2"/>
    <n v="130"/>
    <n v="5"/>
    <n v="255"/>
    <x v="10"/>
    <s v=" 22/1/2023"/>
    <n v="3"/>
  </r>
  <r>
    <s v="C1141"/>
    <s v="O1141"/>
    <s v="ti-84 plus ce"/>
    <x v="0"/>
    <n v="2"/>
    <n v="130"/>
    <n v="5"/>
    <n v="255"/>
    <x v="10"/>
    <s v=" 22/1/2023"/>
    <n v="3"/>
  </r>
  <r>
    <s v="C1142"/>
    <s v="O1142"/>
    <s v="TI-84 PLUS CE PYTHON"/>
    <x v="0"/>
    <n v="1"/>
    <n v="135"/>
    <n v="10"/>
    <n v="125"/>
    <x v="11"/>
    <s v=" 24/1/2023"/>
    <n v="4"/>
  </r>
  <r>
    <s v="C1143"/>
    <s v="O1143"/>
    <s v="TI-84 PLUS CE PYTHON"/>
    <x v="0"/>
    <n v="1"/>
    <n v="135"/>
    <n v="10"/>
    <n v="125"/>
    <x v="11"/>
    <s v=" 24/1/2023"/>
    <n v="4"/>
  </r>
  <r>
    <s v="C1144"/>
    <s v="O1144"/>
    <s v="TI-84 PLUS CE PYTHON"/>
    <x v="0"/>
    <n v="1"/>
    <n v="135"/>
    <n v="0"/>
    <n v="135"/>
    <x v="12"/>
    <s v=" 24/1/2023"/>
    <n v="2"/>
  </r>
  <r>
    <s v="C1145"/>
    <s v="O1145"/>
    <s v="ti-84 plus ce"/>
    <x v="0"/>
    <n v="2"/>
    <n v="130"/>
    <n v="0"/>
    <n v="260"/>
    <x v="12"/>
    <s v=" 20/1/2023"/>
    <n v="2"/>
  </r>
  <r>
    <s v="C1146"/>
    <s v="O1146"/>
    <s v="TI-84 PLUS CE PYTHON"/>
    <x v="0"/>
    <n v="3"/>
    <n v="135"/>
    <n v="5"/>
    <n v="400"/>
    <x v="12"/>
    <s v=" 22/1/2023"/>
    <n v="1"/>
  </r>
  <r>
    <s v="C1147"/>
    <s v="O1147"/>
    <s v="TI-84 PLUS CE PYTHON"/>
    <x v="0"/>
    <n v="1"/>
    <n v="135"/>
    <n v="0"/>
    <n v="135"/>
    <x v="12"/>
    <s v=" 24/1/2023"/>
    <n v="1"/>
  </r>
  <r>
    <s v="C1148"/>
    <s v="O1148"/>
    <s v="ti-84 plus ce"/>
    <x v="0"/>
    <n v="2"/>
    <n v="130"/>
    <n v="0"/>
    <n v="260"/>
    <x v="12"/>
    <s v=" 20/1/2023"/>
    <n v="4"/>
  </r>
  <r>
    <s v="C1149"/>
    <s v="O1149"/>
    <s v="TI-84 PLUS CE PYTHON"/>
    <x v="0"/>
    <n v="3"/>
    <n v="135"/>
    <n v="5"/>
    <n v="400"/>
    <x v="12"/>
    <s v=" 22/1/2023"/>
    <n v="1"/>
  </r>
  <r>
    <s v="C1150"/>
    <s v="O1150"/>
    <s v="TI-84 PLUS CE PYTHON"/>
    <x v="0"/>
    <n v="1"/>
    <n v="135"/>
    <n v="0"/>
    <n v="135"/>
    <x v="13"/>
    <s v=" 27/1/2023"/>
    <n v="2"/>
  </r>
  <r>
    <s v="C1151"/>
    <s v="O1151"/>
    <s v="TI-84 PLUS CE PYTHON"/>
    <x v="0"/>
    <n v="1"/>
    <n v="135"/>
    <n v="0"/>
    <n v="135"/>
    <x v="13"/>
    <s v=" 27/1/2023"/>
    <n v="2"/>
  </r>
  <r>
    <s v="C1152"/>
    <s v="O1152"/>
    <s v="ti-84 plus ce"/>
    <x v="0"/>
    <n v="2"/>
    <n v="130"/>
    <n v="0"/>
    <n v="260"/>
    <x v="14"/>
    <s v=" 29/1/2023"/>
    <n v="1"/>
  </r>
  <r>
    <s v="C1153"/>
    <s v="O1153"/>
    <s v="ti-84 plus ce"/>
    <x v="0"/>
    <n v="2"/>
    <n v="130"/>
    <n v="0"/>
    <n v="260"/>
    <x v="14"/>
    <s v=" 29/1/2023"/>
    <n v="2"/>
  </r>
  <r>
    <s v="C1154"/>
    <s v="O1154"/>
    <s v="ti-89 titanium"/>
    <x v="1"/>
    <n v="1"/>
    <n v="220"/>
    <n v="10"/>
    <n v="210"/>
    <x v="15"/>
    <s v=" 29/1/2023"/>
    <n v="1"/>
  </r>
  <r>
    <s v="C1155"/>
    <s v="O1155"/>
    <s v="ti-nspire cx"/>
    <x v="0"/>
    <n v="1"/>
    <n v="190"/>
    <n v="0"/>
    <n v="190"/>
    <x v="15"/>
    <s v=" 25/1/2023"/>
    <n v="2"/>
  </r>
  <r>
    <s v="C1156"/>
    <s v="O1156"/>
    <s v="ti-89 titanium"/>
    <x v="1"/>
    <n v="1"/>
    <n v="220"/>
    <n v="10"/>
    <n v="210"/>
    <x v="15"/>
    <s v=" 29/1/2023"/>
    <n v="4"/>
  </r>
  <r>
    <s v="C1157"/>
    <s v="O1157"/>
    <s v="ti-nspire cx"/>
    <x v="0"/>
    <n v="1"/>
    <n v="190"/>
    <n v="0"/>
    <n v="190"/>
    <x v="15"/>
    <s v=" 25/1/2023"/>
    <n v="2"/>
  </r>
  <r>
    <s v="C1158"/>
    <s v="O1158"/>
    <s v="ti-nspire cx"/>
    <x v="0"/>
    <n v="1"/>
    <n v="190"/>
    <n v="0"/>
    <n v="190"/>
    <x v="15"/>
    <s v=" 25/1/2023"/>
    <n v="3"/>
  </r>
  <r>
    <s v="C1159"/>
    <s v="O1159"/>
    <s v="TI-84 PLUS CE PYTHON"/>
    <x v="0"/>
    <n v="1"/>
    <n v="135"/>
    <n v="10"/>
    <n v="125"/>
    <x v="16"/>
    <s v=" 27/1/2023"/>
    <n v="2"/>
  </r>
  <r>
    <s v="C1160"/>
    <s v="O1160"/>
    <s v="ti-nspire cx"/>
    <x v="0"/>
    <n v="1"/>
    <n v="190"/>
    <n v="0"/>
    <n v="190"/>
    <x v="16"/>
    <s v=" 27/1/2023"/>
    <n v="2"/>
  </r>
  <r>
    <s v="C1161"/>
    <s v="O1161"/>
    <s v="TI-84 PLUS CE PYTHON"/>
    <x v="0"/>
    <n v="1"/>
    <n v="135"/>
    <n v="10"/>
    <n v="125"/>
    <x v="16"/>
    <s v=" 27/1/2023"/>
    <n v="2"/>
  </r>
  <r>
    <s v="C1162"/>
    <s v="O1162"/>
    <s v="ti-nspire cx"/>
    <x v="0"/>
    <n v="1"/>
    <n v="190"/>
    <n v="0"/>
    <n v="190"/>
    <x v="16"/>
    <s v=" 27/1/2023"/>
    <n v="1"/>
  </r>
  <r>
    <s v="C1163"/>
    <s v="O1163"/>
    <s v="ti-84 plus ce"/>
    <x v="0"/>
    <n v="2"/>
    <n v="130"/>
    <n v="10"/>
    <n v="250"/>
    <x v="17"/>
    <s v=" 30/1/2023"/>
    <n v="2"/>
  </r>
  <r>
    <s v="C1164"/>
    <s v="O1164"/>
    <s v="TI-89"/>
    <x v="1"/>
    <n v="1"/>
    <n v="200"/>
    <n v="0"/>
    <n v="200"/>
    <x v="17"/>
    <s v=" 29/1/2023"/>
    <n v="4"/>
  </r>
  <r>
    <s v="C1165"/>
    <s v="O1165"/>
    <s v="ti-84 plus ce"/>
    <x v="0"/>
    <n v="2"/>
    <n v="130"/>
    <n v="10"/>
    <n v="250"/>
    <x v="17"/>
    <s v=" 30/1/2023"/>
    <n v="2"/>
  </r>
  <r>
    <s v="C1166"/>
    <s v="O1166"/>
    <s v="TI-89"/>
    <x v="1"/>
    <n v="1"/>
    <n v="200"/>
    <n v="0"/>
    <n v="200"/>
    <x v="17"/>
    <s v=" 29/1/2023"/>
    <n v="1"/>
  </r>
  <r>
    <s v="C1167"/>
    <s v="O1167"/>
    <s v="TI-89"/>
    <x v="1"/>
    <n v="1"/>
    <n v="200"/>
    <n v="0"/>
    <n v="200"/>
    <x v="17"/>
    <s v=" 29/1/2023"/>
    <n v="3"/>
  </r>
  <r>
    <s v="C1168"/>
    <s v="O1168"/>
    <s v="Ti-nspire CX II"/>
    <x v="0"/>
    <n v="1"/>
    <n v="210"/>
    <n v="0"/>
    <n v="210"/>
    <x v="18"/>
    <s v=" 1/2/2023"/>
    <n v="2"/>
  </r>
  <r>
    <s v="C1169"/>
    <s v="O1169"/>
    <s v="ti-nspire cx"/>
    <x v="0"/>
    <n v="1"/>
    <n v="190"/>
    <n v="0"/>
    <n v="190"/>
    <x v="18"/>
    <s v=" 31/1/2023"/>
    <n v="2"/>
  </r>
  <r>
    <s v="C1170"/>
    <s v="O1170"/>
    <s v="Ti-nspire CX II"/>
    <x v="0"/>
    <n v="1"/>
    <n v="210"/>
    <n v="0"/>
    <n v="210"/>
    <x v="18"/>
    <s v=" 1/2/2023"/>
    <n v="3"/>
  </r>
  <r>
    <s v="C1171"/>
    <s v="O1171"/>
    <s v="ti-nspire cx"/>
    <x v="0"/>
    <n v="1"/>
    <n v="190"/>
    <n v="0"/>
    <n v="190"/>
    <x v="18"/>
    <s v=" 31/1/2023"/>
    <n v="2"/>
  </r>
  <r>
    <s v="C1172"/>
    <s v="O1172"/>
    <s v="ti-nspire cx"/>
    <x v="0"/>
    <n v="1"/>
    <n v="190"/>
    <n v="0"/>
    <n v="190"/>
    <x v="18"/>
    <s v=" 31/1/2023"/>
    <n v="3"/>
  </r>
  <r>
    <s v="C1173"/>
    <s v="O1173"/>
    <s v="TI-84 PLUS CE PYTHON"/>
    <x v="0"/>
    <n v="1"/>
    <n v="135"/>
    <n v="5"/>
    <n v="130"/>
    <x v="19"/>
    <s v=" 5/2/2023"/>
    <n v="4"/>
  </r>
  <r>
    <s v="C1174"/>
    <s v="O1174"/>
    <s v="ti-84 plus"/>
    <x v="0"/>
    <n v="1"/>
    <n v="125"/>
    <n v="0"/>
    <n v="125"/>
    <x v="19"/>
    <s v=" 4/2/2023"/>
    <n v="1"/>
  </r>
  <r>
    <s v="C1175"/>
    <s v="O1175"/>
    <s v="TI-84 PLUS CE PYTHON"/>
    <x v="0"/>
    <n v="1"/>
    <n v="135"/>
    <n v="5"/>
    <n v="130"/>
    <x v="19"/>
    <s v=" 5/2/2023"/>
    <n v="3"/>
  </r>
  <r>
    <s v="C1176"/>
    <s v="O1176"/>
    <s v="ti-84 plus"/>
    <x v="0"/>
    <n v="1"/>
    <n v="125"/>
    <n v="0"/>
    <n v="125"/>
    <x v="19"/>
    <s v=" 4/2/2023"/>
    <n v="1"/>
  </r>
  <r>
    <s v="C1177"/>
    <s v="O1177"/>
    <s v="ti-84 plus ce"/>
    <x v="0"/>
    <n v="1"/>
    <n v="130"/>
    <n v="5"/>
    <n v="125"/>
    <x v="20"/>
    <s v=" 6/2/2023"/>
    <n v="4"/>
  </r>
  <r>
    <s v="C1178"/>
    <s v="O1178"/>
    <s v="ti-84 plus ce"/>
    <x v="0"/>
    <n v="1"/>
    <n v="130"/>
    <n v="5"/>
    <n v="125"/>
    <x v="20"/>
    <s v=" 6/2/2023"/>
    <n v="1"/>
  </r>
  <r>
    <s v="C1179"/>
    <s v="O1179"/>
    <s v="ti-nspire cx"/>
    <x v="0"/>
    <n v="1"/>
    <n v="190"/>
    <n v="5"/>
    <n v="185"/>
    <x v="21"/>
    <s v=" 4/2/2023"/>
    <n v="3"/>
  </r>
  <r>
    <s v="C1180"/>
    <s v="O1180"/>
    <s v="ti-84 plus ce"/>
    <x v="0"/>
    <n v="1"/>
    <n v="130"/>
    <n v="10"/>
    <n v="120"/>
    <x v="21"/>
    <s v=" 6/2/2023"/>
    <n v="2"/>
  </r>
  <r>
    <s v="C1181"/>
    <s v="O1181"/>
    <s v="ti-nspire cx"/>
    <x v="0"/>
    <n v="1"/>
    <n v="190"/>
    <n v="5"/>
    <n v="185"/>
    <x v="21"/>
    <s v=" 4/2/2023"/>
    <n v="4"/>
  </r>
  <r>
    <s v="C1182"/>
    <s v="O1182"/>
    <s v="ti-84 plus ce"/>
    <x v="0"/>
    <n v="1"/>
    <n v="130"/>
    <n v="10"/>
    <n v="120"/>
    <x v="21"/>
    <s v=" 6/2/2023"/>
    <n v="2"/>
  </r>
  <r>
    <s v="C1183"/>
    <s v="O1183"/>
    <s v="ti-89 titanium"/>
    <x v="1"/>
    <n v="2"/>
    <n v="220"/>
    <n v="0"/>
    <n v="440"/>
    <x v="22"/>
    <s v=" 6/2/2023"/>
    <n v="2"/>
  </r>
  <r>
    <s v="C1184"/>
    <s v="O1184"/>
    <s v="ti-89 titanium"/>
    <x v="1"/>
    <n v="2"/>
    <n v="220"/>
    <n v="0"/>
    <n v="440"/>
    <x v="22"/>
    <s v=" 6/2/2023"/>
    <n v="2"/>
  </r>
  <r>
    <s v="C1185"/>
    <s v="O1185"/>
    <s v="TI-84 PLUS CE PYTHON"/>
    <x v="0"/>
    <n v="1"/>
    <n v="135"/>
    <n v="10"/>
    <n v="125"/>
    <x v="23"/>
    <s v=" 11/2/2023"/>
    <n v="1"/>
  </r>
  <r>
    <s v="C1186"/>
    <s v="O1186"/>
    <s v="TI-84 PLUS CE PYTHON"/>
    <x v="0"/>
    <n v="1"/>
    <n v="135"/>
    <n v="10"/>
    <n v="125"/>
    <x v="23"/>
    <s v=" 13/2/2023"/>
    <n v="1"/>
  </r>
  <r>
    <s v="C1187"/>
    <s v="O1187"/>
    <s v="TI-84 PLUS CE PYTHON"/>
    <x v="0"/>
    <n v="1"/>
    <n v="135"/>
    <n v="10"/>
    <n v="125"/>
    <x v="23"/>
    <s v=" 11/2/2023"/>
    <n v="3"/>
  </r>
  <r>
    <s v="C1188"/>
    <s v="O1188"/>
    <s v="TI-84 PLUS CE PYTHON"/>
    <x v="0"/>
    <n v="1"/>
    <n v="135"/>
    <n v="10"/>
    <n v="125"/>
    <x v="23"/>
    <s v=" 13/2/2023"/>
    <n v="3"/>
  </r>
  <r>
    <s v="C1189"/>
    <s v="O1189"/>
    <s v="ti-84 plus ce"/>
    <x v="0"/>
    <n v="1"/>
    <n v="130"/>
    <n v="0"/>
    <n v="130"/>
    <x v="24"/>
    <s v=" 14/2/2023"/>
    <n v="4"/>
  </r>
  <r>
    <s v="C1190"/>
    <s v="O1190"/>
    <s v="ti-84 plus ce"/>
    <x v="0"/>
    <n v="1"/>
    <n v="130"/>
    <n v="0"/>
    <n v="130"/>
    <x v="24"/>
    <s v=" 14/2/2023"/>
    <n v="1"/>
  </r>
  <r>
    <s v="C1191"/>
    <s v="O1191"/>
    <s v="ti-84 plus ce"/>
    <x v="0"/>
    <n v="1"/>
    <n v="130"/>
    <n v="5"/>
    <n v="125"/>
    <x v="25"/>
    <s v=" 11/2/2023"/>
    <n v="3"/>
  </r>
  <r>
    <s v="C1192"/>
    <s v="O1192"/>
    <s v="ti-84 plus ce"/>
    <x v="0"/>
    <n v="1"/>
    <n v="130"/>
    <n v="5"/>
    <n v="125"/>
    <x v="25"/>
    <s v=" 11/2/2023"/>
    <n v="2"/>
  </r>
  <r>
    <s v="C1193"/>
    <s v="O1193"/>
    <s v="ti-84 plus ce"/>
    <x v="0"/>
    <n v="1"/>
    <n v="130"/>
    <n v="5"/>
    <n v="125"/>
    <x v="25"/>
    <s v=" 11/2/2023"/>
    <n v="1"/>
  </r>
  <r>
    <s v="C1194"/>
    <s v="O1194"/>
    <s v="TI-84 PLUS CE PYTHON"/>
    <x v="0"/>
    <n v="1"/>
    <n v="135"/>
    <n v="10"/>
    <n v="125"/>
    <x v="26"/>
    <s v=" 16/2/2023"/>
    <n v="1"/>
  </r>
  <r>
    <s v="C1195"/>
    <s v="O1195"/>
    <s v="TI-84 PLUS CE PYTHON"/>
    <x v="0"/>
    <n v="1"/>
    <n v="135"/>
    <n v="0"/>
    <n v="135"/>
    <x v="26"/>
    <s v=" 16/2/2023"/>
    <n v="1"/>
  </r>
  <r>
    <s v="C1196"/>
    <s v="O1196"/>
    <s v="TI-84 PLUS CE PYTHON"/>
    <x v="0"/>
    <n v="1"/>
    <n v="135"/>
    <n v="10"/>
    <n v="125"/>
    <x v="26"/>
    <s v=" 16/2/2023"/>
    <n v="2"/>
  </r>
  <r>
    <s v="C1197"/>
    <s v="O1197"/>
    <s v="TI-84 PLUS CE PYTHON"/>
    <x v="0"/>
    <n v="1"/>
    <n v="135"/>
    <n v="0"/>
    <n v="135"/>
    <x v="26"/>
    <s v=" 16/2/2023"/>
    <n v="2"/>
  </r>
  <r>
    <s v="C1198"/>
    <s v="O1198"/>
    <s v="ti-84 plus ce"/>
    <x v="0"/>
    <n v="3"/>
    <n v="130"/>
    <n v="0"/>
    <n v="390"/>
    <x v="27"/>
    <s v=" 18/2/2023"/>
    <n v="2"/>
  </r>
  <r>
    <s v="C1199"/>
    <s v="O1199"/>
    <s v="ti-84 plus ce"/>
    <x v="0"/>
    <n v="3"/>
    <n v="130"/>
    <n v="0"/>
    <n v="390"/>
    <x v="27"/>
    <s v=" 18/2/2023"/>
    <n v="4"/>
  </r>
  <r>
    <s v="C1200"/>
    <s v="O1200"/>
    <s v="TI-NSPIRE CX CAS"/>
    <x v="1"/>
    <n v="3"/>
    <n v="200"/>
    <n v="0"/>
    <n v="600"/>
    <x v="28"/>
    <s v=" 18/2/2023"/>
    <n v="2"/>
  </r>
  <r>
    <s v="C1201"/>
    <s v="O1201"/>
    <s v="TI-83 plus"/>
    <x v="0"/>
    <n v="2"/>
    <n v="85"/>
    <n v="0"/>
    <n v="170"/>
    <x v="28"/>
    <s v=" 17/2/2023"/>
    <n v="3"/>
  </r>
  <r>
    <s v="C1202"/>
    <s v="O1202"/>
    <s v="TI-NSPIRE CX CAS"/>
    <x v="1"/>
    <n v="3"/>
    <n v="200"/>
    <n v="0"/>
    <n v="600"/>
    <x v="28"/>
    <s v=" 18/2/2023"/>
    <n v="3"/>
  </r>
  <r>
    <s v="C1203"/>
    <s v="O1203"/>
    <s v="TI-83 plus"/>
    <x v="0"/>
    <n v="2"/>
    <n v="85"/>
    <n v="0"/>
    <n v="170"/>
    <x v="28"/>
    <s v=" 17/2/2023"/>
    <n v="4"/>
  </r>
  <r>
    <s v="C1204"/>
    <s v="O1204"/>
    <s v="TI-NSPIRE CX CAS"/>
    <x v="1"/>
    <n v="3"/>
    <n v="200"/>
    <n v="0"/>
    <n v="600"/>
    <x v="28"/>
    <s v=" 18/2/2023"/>
    <n v="4"/>
  </r>
  <r>
    <s v="C1205"/>
    <s v="O1205"/>
    <s v="TI-83 plus"/>
    <x v="0"/>
    <n v="2"/>
    <n v="85"/>
    <n v="0"/>
    <n v="170"/>
    <x v="28"/>
    <s v=" 17/2/2023"/>
    <n v="1"/>
  </r>
  <r>
    <s v="C1206"/>
    <s v="O1206"/>
    <s v="ti-84 plus"/>
    <x v="0"/>
    <n v="1"/>
    <n v="125"/>
    <n v="10"/>
    <n v="115"/>
    <x v="29"/>
    <s v=" 21/2/2023"/>
    <n v="1"/>
  </r>
  <r>
    <s v="C1207"/>
    <s v="O1207"/>
    <s v="ti-84 plus ce"/>
    <x v="0"/>
    <n v="3"/>
    <n v="130"/>
    <n v="0"/>
    <n v="390"/>
    <x v="29"/>
    <s v=" 22/2/2023"/>
    <n v="2"/>
  </r>
  <r>
    <s v="C1208"/>
    <s v="O1208"/>
    <s v="ti-84 plus"/>
    <x v="0"/>
    <n v="1"/>
    <n v="125"/>
    <n v="10"/>
    <n v="115"/>
    <x v="29"/>
    <s v=" 21/2/2023"/>
    <n v="1"/>
  </r>
  <r>
    <s v="C1209"/>
    <s v="O1209"/>
    <s v="ti-84 plus ce"/>
    <x v="0"/>
    <n v="3"/>
    <n v="130"/>
    <n v="0"/>
    <n v="390"/>
    <x v="29"/>
    <s v=" 22/2/2023"/>
    <n v="4"/>
  </r>
  <r>
    <s v="C1210"/>
    <s v="O1210"/>
    <s v="ti-84 plus ce"/>
    <x v="0"/>
    <n v="3"/>
    <n v="130"/>
    <n v="0"/>
    <n v="390"/>
    <x v="29"/>
    <s v=" 22/2/2023"/>
    <n v="2"/>
  </r>
  <r>
    <s v="C1211"/>
    <s v="O1211"/>
    <s v="TI-84 PLUS CE PYTHON"/>
    <x v="0"/>
    <n v="3"/>
    <n v="135"/>
    <n v="5"/>
    <n v="400"/>
    <x v="30"/>
    <s v=" 25/2/2023"/>
    <n v="4"/>
  </r>
  <r>
    <s v="C1212"/>
    <s v="O1212"/>
    <s v="ti-84 plus ce"/>
    <x v="0"/>
    <n v="1"/>
    <n v="130"/>
    <n v="0"/>
    <n v="130"/>
    <x v="30"/>
    <s v=" 25/2/2023"/>
    <n v="3"/>
  </r>
  <r>
    <s v="C1213"/>
    <s v="O1213"/>
    <s v="ti-84 plus"/>
    <x v="0"/>
    <n v="1"/>
    <n v="125"/>
    <n v="0"/>
    <n v="125"/>
    <x v="30"/>
    <s v=" 24/2/2023"/>
    <n v="3"/>
  </r>
  <r>
    <s v="C1214"/>
    <s v="O1214"/>
    <s v="ti-84 plus ce"/>
    <x v="0"/>
    <n v="1"/>
    <n v="130"/>
    <n v="10"/>
    <n v="120"/>
    <x v="30"/>
    <s v=" 20/2/2023"/>
    <n v="1"/>
  </r>
  <r>
    <s v="C1215"/>
    <s v="O1215"/>
    <s v="TI-84 PLUS CE PYTHON"/>
    <x v="0"/>
    <n v="3"/>
    <n v="135"/>
    <n v="5"/>
    <n v="400"/>
    <x v="30"/>
    <s v=" 25/2/2023"/>
    <n v="3"/>
  </r>
  <r>
    <s v="C1216"/>
    <s v="O1216"/>
    <s v="ti-84 plus ce"/>
    <x v="0"/>
    <n v="1"/>
    <n v="130"/>
    <n v="0"/>
    <n v="130"/>
    <x v="30"/>
    <s v=" 25/2/2023"/>
    <n v="1"/>
  </r>
  <r>
    <s v="C1217"/>
    <s v="O1217"/>
    <s v="ti-84 plus"/>
    <x v="0"/>
    <n v="1"/>
    <n v="125"/>
    <n v="0"/>
    <n v="125"/>
    <x v="30"/>
    <s v=" 24/2/2023"/>
    <n v="2"/>
  </r>
  <r>
    <s v="C1218"/>
    <s v="O1218"/>
    <s v="ti-84 plus ce"/>
    <x v="0"/>
    <n v="1"/>
    <n v="130"/>
    <n v="10"/>
    <n v="120"/>
    <x v="30"/>
    <s v=" 20/2/2023"/>
    <n v="3"/>
  </r>
  <r>
    <s v="C1219"/>
    <s v="O1219"/>
    <s v="ti-84 plus ce"/>
    <x v="0"/>
    <n v="2"/>
    <n v="130"/>
    <n v="0"/>
    <n v="260"/>
    <x v="31"/>
    <s v=" 21/2/2023"/>
    <n v="3"/>
  </r>
  <r>
    <s v="C1220"/>
    <s v="O1220"/>
    <s v="ti-84 plus ce"/>
    <x v="0"/>
    <n v="2"/>
    <n v="130"/>
    <n v="0"/>
    <n v="260"/>
    <x v="31"/>
    <s v=" 21/2/2023"/>
    <n v="3"/>
  </r>
  <r>
    <s v="C1221"/>
    <s v="O1221"/>
    <s v="TI-84 PLUS CE PYTHON"/>
    <x v="0"/>
    <n v="1"/>
    <n v="135"/>
    <n v="0"/>
    <n v="135"/>
    <x v="32"/>
    <s v=" 23/2/2023"/>
    <n v="1"/>
  </r>
  <r>
    <s v="C1222"/>
    <s v="O1222"/>
    <s v="TI-84 PLUS CE PYTHON"/>
    <x v="0"/>
    <n v="1"/>
    <n v="135"/>
    <n v="0"/>
    <n v="135"/>
    <x v="32"/>
    <s v=" 23/2/2023"/>
    <n v="3"/>
  </r>
  <r>
    <s v="C1223"/>
    <s v="O1223"/>
    <s v="ti-84 plus ce"/>
    <x v="0"/>
    <n v="1"/>
    <n v="130"/>
    <n v="0"/>
    <n v="130"/>
    <x v="33"/>
    <s v=" 28/2/2023"/>
    <n v="4"/>
  </r>
  <r>
    <s v="C1224"/>
    <s v="O1224"/>
    <s v="ti-84 plus ce"/>
    <x v="0"/>
    <n v="1"/>
    <n v="130"/>
    <n v="0"/>
    <n v="130"/>
    <x v="33"/>
    <s v=" 28/2/2023"/>
    <n v="2"/>
  </r>
  <r>
    <s v="C1225"/>
    <s v="O1225"/>
    <s v="ti-84 plus ce"/>
    <x v="0"/>
    <n v="1"/>
    <n v="130"/>
    <n v="0"/>
    <n v="130"/>
    <x v="33"/>
    <s v=" 28/2/2023"/>
    <n v="1"/>
  </r>
  <r>
    <s v="C1226"/>
    <s v="O1226"/>
    <s v="ti-84 plus ce"/>
    <x v="0"/>
    <n v="2"/>
    <n v="130"/>
    <n v="0"/>
    <n v="260"/>
    <x v="34"/>
    <s v=" 28/2/2023"/>
    <n v="4"/>
  </r>
  <r>
    <s v="C1227"/>
    <s v="O1227"/>
    <s v="ti-84 plus ce"/>
    <x v="0"/>
    <n v="2"/>
    <n v="130"/>
    <n v="0"/>
    <n v="260"/>
    <x v="34"/>
    <s v=" 28/2/2023"/>
    <n v="3"/>
  </r>
  <r>
    <s v="C1228"/>
    <s v="O1228"/>
    <s v="ti-84 plus ce"/>
    <x v="0"/>
    <n v="2"/>
    <n v="130"/>
    <n v="0"/>
    <n v="260"/>
    <x v="34"/>
    <s v=" 28/2/2023"/>
    <n v="2"/>
  </r>
  <r>
    <s v="C1229"/>
    <s v="O1229"/>
    <s v="TI-84 PLUS CE PYTHON"/>
    <x v="0"/>
    <n v="1"/>
    <n v="135"/>
    <n v="0"/>
    <n v="135"/>
    <x v="35"/>
    <s v=" 28/2/2023"/>
    <n v="2"/>
  </r>
  <r>
    <s v="C1230"/>
    <s v="O1230"/>
    <s v="ti-84 plus ce"/>
    <x v="0"/>
    <n v="2"/>
    <n v="130"/>
    <n v="5"/>
    <n v="255"/>
    <x v="35"/>
    <s v=" 1/3/2023"/>
    <n v="2"/>
  </r>
  <r>
    <s v="C1231"/>
    <s v="O1231"/>
    <s v="TI-84 PLUS CE PYTHON"/>
    <x v="0"/>
    <n v="1"/>
    <n v="135"/>
    <n v="0"/>
    <n v="135"/>
    <x v="35"/>
    <s v=" 28/2/2023"/>
    <n v="4"/>
  </r>
  <r>
    <s v="C1232"/>
    <s v="O1232"/>
    <s v="ti-84 plus ce"/>
    <x v="0"/>
    <n v="2"/>
    <n v="130"/>
    <n v="5"/>
    <n v="255"/>
    <x v="35"/>
    <s v=" 1/3/2023"/>
    <n v="1"/>
  </r>
  <r>
    <s v="C1233"/>
    <s v="O1233"/>
    <s v="ti-nspire cx"/>
    <x v="0"/>
    <n v="3"/>
    <n v="190"/>
    <n v="5"/>
    <n v="565"/>
    <x v="36"/>
    <s v=" 28/2/2023"/>
    <n v="4"/>
  </r>
  <r>
    <s v="C1234"/>
    <s v="O1234"/>
    <s v="ti-nspire cx"/>
    <x v="0"/>
    <n v="3"/>
    <n v="190"/>
    <n v="5"/>
    <n v="565"/>
    <x v="36"/>
    <s v=" 28/2/2023"/>
    <n v="1"/>
  </r>
  <r>
    <s v="C1235"/>
    <s v="O1235"/>
    <s v="ti-nspire cx"/>
    <x v="0"/>
    <n v="1"/>
    <n v="190"/>
    <n v="5"/>
    <n v="185"/>
    <x v="37"/>
    <s v=" 5/3/2023"/>
    <n v="2"/>
  </r>
  <r>
    <s v="C1236"/>
    <s v="O1236"/>
    <s v="ti-nspire cx"/>
    <x v="0"/>
    <n v="1"/>
    <n v="190"/>
    <n v="5"/>
    <n v="185"/>
    <x v="37"/>
    <s v=" 4/3/2023"/>
    <n v="3"/>
  </r>
  <r>
    <s v="C1237"/>
    <s v="O1237"/>
    <s v="ti-nspire cx"/>
    <x v="0"/>
    <n v="1"/>
    <n v="190"/>
    <n v="5"/>
    <n v="185"/>
    <x v="37"/>
    <s v=" 5/3/2023"/>
    <n v="4"/>
  </r>
  <r>
    <s v="C1238"/>
    <s v="O1238"/>
    <s v="ti-nspire cx"/>
    <x v="0"/>
    <n v="1"/>
    <n v="190"/>
    <n v="5"/>
    <n v="185"/>
    <x v="37"/>
    <s v=" 4/3/2023"/>
    <n v="1"/>
  </r>
  <r>
    <s v="C1239"/>
    <s v="O1239"/>
    <s v="ti-nspire cx"/>
    <x v="0"/>
    <n v="1"/>
    <n v="190"/>
    <n v="5"/>
    <n v="185"/>
    <x v="37"/>
    <s v=" 5/3/2023"/>
    <n v="2"/>
  </r>
  <r>
    <s v="C1240"/>
    <s v="O1240"/>
    <s v="ti-89 titanium"/>
    <x v="1"/>
    <n v="1"/>
    <n v="220"/>
    <n v="10"/>
    <n v="210"/>
    <x v="38"/>
    <s v=" 6/3/2023"/>
    <n v="3"/>
  </r>
  <r>
    <s v="C1241"/>
    <s v="O1241"/>
    <s v="ti-89 titanium"/>
    <x v="1"/>
    <n v="1"/>
    <n v="220"/>
    <n v="10"/>
    <n v="210"/>
    <x v="38"/>
    <s v=" 6/3/2023"/>
    <n v="1"/>
  </r>
  <r>
    <s v="C1242"/>
    <s v="O1242"/>
    <s v="ti-nspire CX II Cas"/>
    <x v="1"/>
    <n v="1"/>
    <n v="215"/>
    <n v="10"/>
    <n v="205"/>
    <x v="39"/>
    <s v=" 7/3/2023"/>
    <n v="4"/>
  </r>
  <r>
    <s v="C1243"/>
    <s v="O1243"/>
    <s v="ti-nspire CX II Cas"/>
    <x v="1"/>
    <n v="1"/>
    <n v="215"/>
    <n v="10"/>
    <n v="205"/>
    <x v="39"/>
    <s v=" 7/3/2023"/>
    <n v="1"/>
  </r>
  <r>
    <s v="C1244"/>
    <s v="O1244"/>
    <s v="TI-83 plus"/>
    <x v="0"/>
    <n v="1"/>
    <n v="85"/>
    <n v="0"/>
    <n v="85"/>
    <x v="40"/>
    <s v=" 10/3/2023"/>
    <n v="2"/>
  </r>
  <r>
    <s v="C1245"/>
    <s v="O1245"/>
    <s v="ti-84 plus ce"/>
    <x v="0"/>
    <n v="1"/>
    <n v="130"/>
    <n v="5"/>
    <n v="125"/>
    <x v="40"/>
    <s v=" 10/3/2023"/>
    <n v="2"/>
  </r>
  <r>
    <s v="C1246"/>
    <s v="O1246"/>
    <s v="ti-84 plus ce"/>
    <x v="0"/>
    <n v="1"/>
    <n v="130"/>
    <n v="5"/>
    <n v="125"/>
    <x v="40"/>
    <s v=" 10/3/2023"/>
    <n v="2"/>
  </r>
  <r>
    <s v="C1247"/>
    <s v="O1247"/>
    <s v="TI-83 plus"/>
    <x v="0"/>
    <n v="1"/>
    <n v="85"/>
    <n v="0"/>
    <n v="85"/>
    <x v="40"/>
    <s v=" 10/3/2023"/>
    <n v="4"/>
  </r>
  <r>
    <s v="C1248"/>
    <s v="O1248"/>
    <s v="ti-84 plus ce"/>
    <x v="0"/>
    <n v="1"/>
    <n v="130"/>
    <n v="5"/>
    <n v="125"/>
    <x v="40"/>
    <s v=" 10/3/2023"/>
    <n v="3"/>
  </r>
  <r>
    <s v="C1249"/>
    <s v="O1249"/>
    <s v="ti-84 plus ce"/>
    <x v="0"/>
    <n v="1"/>
    <n v="130"/>
    <n v="5"/>
    <n v="125"/>
    <x v="40"/>
    <s v=" 10/3/2023"/>
    <n v="4"/>
  </r>
  <r>
    <s v="C1250"/>
    <s v="O1250"/>
    <s v="ti-84 plus ce"/>
    <x v="0"/>
    <n v="3"/>
    <n v="130"/>
    <n v="0"/>
    <n v="390"/>
    <x v="41"/>
    <s v=" 8/3/2023"/>
    <n v="2"/>
  </r>
  <r>
    <s v="C1251"/>
    <s v="O1251"/>
    <s v="ti-84 plus ce"/>
    <x v="0"/>
    <n v="1"/>
    <n v="130"/>
    <n v="0"/>
    <n v="130"/>
    <x v="41"/>
    <s v=" 12/3/2023"/>
    <n v="2"/>
  </r>
  <r>
    <s v="C1252"/>
    <s v="O1252"/>
    <s v="TI-84 PLUS CE PYTHON"/>
    <x v="0"/>
    <n v="1"/>
    <n v="135"/>
    <n v="0"/>
    <n v="135"/>
    <x v="41"/>
    <s v=" 9/3/2023"/>
    <n v="4"/>
  </r>
  <r>
    <s v="C1253"/>
    <s v="O1253"/>
    <s v="ti-84 plus ce"/>
    <x v="0"/>
    <n v="1"/>
    <n v="130"/>
    <n v="10"/>
    <n v="120"/>
    <x v="41"/>
    <s v=" 8/3/2023"/>
    <n v="1"/>
  </r>
  <r>
    <s v="C1254"/>
    <s v="O1254"/>
    <s v="ti-84 plus ce"/>
    <x v="0"/>
    <n v="3"/>
    <n v="130"/>
    <n v="0"/>
    <n v="390"/>
    <x v="41"/>
    <s v=" 8/3/2023"/>
    <n v="3"/>
  </r>
  <r>
    <s v="C1255"/>
    <s v="O1255"/>
    <s v="ti-84 plus ce"/>
    <x v="0"/>
    <n v="1"/>
    <n v="130"/>
    <n v="0"/>
    <n v="130"/>
    <x v="41"/>
    <s v=" 12/3/2023"/>
    <n v="1"/>
  </r>
  <r>
    <s v="C1256"/>
    <s v="O1256"/>
    <s v="TI-84 PLUS CE PYTHON"/>
    <x v="0"/>
    <n v="1"/>
    <n v="135"/>
    <n v="0"/>
    <n v="135"/>
    <x v="41"/>
    <s v=" 9/3/2023"/>
    <n v="1"/>
  </r>
  <r>
    <s v="C1257"/>
    <s v="O1257"/>
    <s v="ti-84 plus ce"/>
    <x v="0"/>
    <n v="1"/>
    <n v="130"/>
    <n v="10"/>
    <n v="120"/>
    <x v="41"/>
    <s v=" 8/3/2023"/>
    <n v="3"/>
  </r>
  <r>
    <s v="C1258"/>
    <s v="O1258"/>
    <s v="ti-84 plus ce"/>
    <x v="0"/>
    <n v="1"/>
    <n v="130"/>
    <n v="5"/>
    <n v="125"/>
    <x v="42"/>
    <s v=" 14/3/2023"/>
    <n v="4"/>
  </r>
  <r>
    <s v="C1259"/>
    <s v="O1259"/>
    <s v="ti-nspire cx"/>
    <x v="0"/>
    <n v="1"/>
    <n v="190"/>
    <n v="0"/>
    <n v="190"/>
    <x v="42"/>
    <s v=" 9/3/2023"/>
    <n v="2"/>
  </r>
  <r>
    <s v="C1260"/>
    <s v="O1260"/>
    <s v="ti-84 plus ce"/>
    <x v="0"/>
    <n v="1"/>
    <n v="130"/>
    <n v="5"/>
    <n v="125"/>
    <x v="42"/>
    <s v=" 14/3/2023"/>
    <n v="1"/>
  </r>
  <r>
    <s v="C1261"/>
    <s v="O1261"/>
    <s v="ti-nspire cx"/>
    <x v="0"/>
    <n v="1"/>
    <n v="190"/>
    <n v="0"/>
    <n v="190"/>
    <x v="42"/>
    <s v=" 9/3/2023"/>
    <n v="1"/>
  </r>
  <r>
    <s v="C1262"/>
    <s v="O1262"/>
    <s v="ti-84 plus ce"/>
    <x v="0"/>
    <n v="1"/>
    <n v="130"/>
    <n v="5"/>
    <n v="125"/>
    <x v="42"/>
    <s v=" 14/3/2023"/>
    <n v="2"/>
  </r>
  <r>
    <s v="C1263"/>
    <s v="O1263"/>
    <s v="ti-nspire cx"/>
    <x v="0"/>
    <n v="1"/>
    <n v="190"/>
    <n v="0"/>
    <n v="190"/>
    <x v="42"/>
    <s v=" 9/3/2023"/>
    <n v="2"/>
  </r>
  <r>
    <s v="C1264"/>
    <s v="O1264"/>
    <s v="ti-84 plus ce"/>
    <x v="0"/>
    <n v="1"/>
    <n v="130"/>
    <n v="10"/>
    <n v="120"/>
    <x v="43"/>
    <s v=" 11/3/2023"/>
    <n v="2"/>
  </r>
  <r>
    <s v="C1265"/>
    <s v="O1265"/>
    <s v="ti-nspire CX II Cas"/>
    <x v="1"/>
    <n v="2"/>
    <n v="215"/>
    <n v="0"/>
    <n v="430"/>
    <x v="43"/>
    <s v=" 15/3/2023"/>
    <n v="4"/>
  </r>
  <r>
    <s v="C1266"/>
    <s v="O1266"/>
    <s v="ti-84 plus ce"/>
    <x v="0"/>
    <n v="3"/>
    <n v="130"/>
    <n v="0"/>
    <n v="390"/>
    <x v="43"/>
    <s v=" 13/3/2023"/>
    <n v="2"/>
  </r>
  <r>
    <s v="C1267"/>
    <s v="O1267"/>
    <s v="ti-84 plus ce"/>
    <x v="0"/>
    <n v="1"/>
    <n v="130"/>
    <n v="10"/>
    <n v="120"/>
    <x v="43"/>
    <s v=" 11/3/2023"/>
    <n v="4"/>
  </r>
  <r>
    <s v="C1268"/>
    <s v="O1268"/>
    <s v="ti-nspire CX II Cas"/>
    <x v="1"/>
    <n v="2"/>
    <n v="215"/>
    <n v="0"/>
    <n v="430"/>
    <x v="43"/>
    <s v=" 15/3/2023"/>
    <n v="4"/>
  </r>
  <r>
    <s v="C1269"/>
    <s v="O1269"/>
    <s v="ti-84 plus ce"/>
    <x v="0"/>
    <n v="3"/>
    <n v="130"/>
    <n v="0"/>
    <n v="390"/>
    <x v="43"/>
    <s v=" 13/3/2023"/>
    <n v="1"/>
  </r>
  <r>
    <s v="C1270"/>
    <s v="O1270"/>
    <s v="ti-84 plus ce"/>
    <x v="0"/>
    <n v="1"/>
    <n v="130"/>
    <n v="0"/>
    <n v="130"/>
    <x v="44"/>
    <s v=" 16/3/2023"/>
    <n v="3"/>
  </r>
  <r>
    <s v="C1271"/>
    <s v="O1271"/>
    <s v="ti-84 plus ce"/>
    <x v="0"/>
    <n v="1"/>
    <n v="130"/>
    <n v="0"/>
    <n v="130"/>
    <x v="44"/>
    <s v=" 16/3/2023"/>
    <n v="2"/>
  </r>
  <r>
    <s v="C1272"/>
    <s v="O1272"/>
    <s v="TI-83 plus"/>
    <x v="0"/>
    <n v="1"/>
    <n v="85"/>
    <n v="0"/>
    <n v="85"/>
    <x v="45"/>
    <s v=" 13/3/2023"/>
    <n v="3"/>
  </r>
  <r>
    <s v="C1273"/>
    <s v="O1273"/>
    <s v="TI-84 PLUS CE PYTHON"/>
    <x v="0"/>
    <n v="1"/>
    <n v="135"/>
    <n v="0"/>
    <n v="135"/>
    <x v="45"/>
    <s v=" 15/3/2023"/>
    <n v="2"/>
  </r>
  <r>
    <s v="C1274"/>
    <s v="O1274"/>
    <s v="TI-83 plus"/>
    <x v="0"/>
    <n v="1"/>
    <n v="85"/>
    <n v="0"/>
    <n v="85"/>
    <x v="45"/>
    <s v=" 13/3/2023"/>
    <n v="2"/>
  </r>
  <r>
    <s v="C1275"/>
    <s v="O1275"/>
    <s v="TI-84 PLUS CE PYTHON"/>
    <x v="0"/>
    <n v="1"/>
    <n v="135"/>
    <n v="0"/>
    <n v="135"/>
    <x v="45"/>
    <s v=" 15/3/2023"/>
    <n v="3"/>
  </r>
  <r>
    <s v="C1276"/>
    <s v="O1276"/>
    <s v="ti-84 plus ce"/>
    <x v="0"/>
    <n v="1"/>
    <n v="130"/>
    <n v="0"/>
    <n v="130"/>
    <x v="46"/>
    <s v=" 17/3/2023"/>
    <n v="4"/>
  </r>
  <r>
    <s v="C1277"/>
    <s v="O1277"/>
    <s v="ti-84 plus ce"/>
    <x v="0"/>
    <n v="1"/>
    <n v="130"/>
    <n v="0"/>
    <n v="130"/>
    <x v="46"/>
    <s v=" 17/3/2023"/>
    <n v="4"/>
  </r>
  <r>
    <s v="C1278"/>
    <s v="O1278"/>
    <s v="ti-84 plus ce"/>
    <x v="0"/>
    <n v="1"/>
    <n v="130"/>
    <n v="0"/>
    <n v="130"/>
    <x v="46"/>
    <s v=" 17/3/2023"/>
    <n v="4"/>
  </r>
  <r>
    <s v="C1279"/>
    <s v="O1279"/>
    <s v="TI-84 PLUS CE PYTHON"/>
    <x v="0"/>
    <n v="1"/>
    <n v="135"/>
    <n v="0"/>
    <n v="135"/>
    <x v="47"/>
    <s v=" 17/3/2023"/>
    <n v="4"/>
  </r>
  <r>
    <s v="C1280"/>
    <s v="O1280"/>
    <s v="TI-NSPIRE CX CAS"/>
    <x v="1"/>
    <n v="1"/>
    <n v="200"/>
    <n v="0"/>
    <n v="200"/>
    <x v="47"/>
    <s v=" 18/3/2023"/>
    <n v="2"/>
  </r>
  <r>
    <s v="C1281"/>
    <s v="O1281"/>
    <s v="TI-84 PLUS CE PYTHON"/>
    <x v="0"/>
    <n v="1"/>
    <n v="135"/>
    <n v="0"/>
    <n v="135"/>
    <x v="47"/>
    <s v=" 17/3/2023"/>
    <n v="3"/>
  </r>
  <r>
    <s v="C1282"/>
    <s v="O1282"/>
    <s v="TI-NSPIRE CX CAS"/>
    <x v="1"/>
    <n v="1"/>
    <n v="200"/>
    <n v="0"/>
    <n v="200"/>
    <x v="47"/>
    <s v=" 18/3/2023"/>
    <n v="2"/>
  </r>
  <r>
    <s v="C1283"/>
    <s v="O1283"/>
    <s v="ti-nspire cx"/>
    <x v="0"/>
    <n v="2"/>
    <n v="190"/>
    <n v="0"/>
    <n v="380"/>
    <x v="48"/>
    <s v=" 19/3/2023"/>
    <n v="3"/>
  </r>
  <r>
    <s v="C1284"/>
    <s v="O1284"/>
    <s v="ti-nspire cx"/>
    <x v="0"/>
    <n v="2"/>
    <n v="190"/>
    <n v="0"/>
    <n v="380"/>
    <x v="48"/>
    <s v=" 19/3/2023"/>
    <n v="1"/>
  </r>
  <r>
    <s v="C1285"/>
    <s v="O1285"/>
    <s v="ti-84 plus ce"/>
    <x v="0"/>
    <n v="2"/>
    <n v="130"/>
    <n v="0"/>
    <n v="260"/>
    <x v="49"/>
    <s v=" 22/3/2023"/>
    <n v="1"/>
  </r>
  <r>
    <s v="C1286"/>
    <s v="O1286"/>
    <s v="ti-84 plus ce"/>
    <x v="0"/>
    <n v="2"/>
    <n v="130"/>
    <n v="0"/>
    <n v="260"/>
    <x v="49"/>
    <s v=" 22/3/2023"/>
    <n v="2"/>
  </r>
  <r>
    <s v="C1287"/>
    <s v="O1287"/>
    <s v="TI-84 PLUS CE PYTHON"/>
    <x v="0"/>
    <n v="1"/>
    <n v="135"/>
    <n v="5"/>
    <n v="130"/>
    <x v="50"/>
    <s v=" 22/3/2023"/>
    <n v="2"/>
  </r>
  <r>
    <s v="C1288"/>
    <s v="O1288"/>
    <s v="ti-84 plus ce"/>
    <x v="0"/>
    <n v="1"/>
    <n v="130"/>
    <n v="0"/>
    <n v="130"/>
    <x v="50"/>
    <s v=" 23/3/2023"/>
    <n v="1"/>
  </r>
  <r>
    <s v="C1289"/>
    <s v="O1289"/>
    <s v="ti-84 plus"/>
    <x v="0"/>
    <n v="3"/>
    <n v="125"/>
    <n v="0"/>
    <n v="375"/>
    <x v="50"/>
    <s v=" 21/3/2023"/>
    <n v="4"/>
  </r>
  <r>
    <s v="C1290"/>
    <s v="O1290"/>
    <s v="TI-84 PLUS CE PYTHON"/>
    <x v="0"/>
    <n v="1"/>
    <n v="135"/>
    <n v="5"/>
    <n v="130"/>
    <x v="50"/>
    <s v=" 22/3/2023"/>
    <n v="4"/>
  </r>
  <r>
    <s v="C1291"/>
    <s v="O1291"/>
    <s v="ti-84 plus ce"/>
    <x v="0"/>
    <n v="1"/>
    <n v="130"/>
    <n v="0"/>
    <n v="130"/>
    <x v="50"/>
    <s v=" 23/3/2023"/>
    <n v="4"/>
  </r>
  <r>
    <s v="C1292"/>
    <s v="O1292"/>
    <s v="ti-84 plus"/>
    <x v="0"/>
    <n v="3"/>
    <n v="125"/>
    <n v="0"/>
    <n v="375"/>
    <x v="50"/>
    <s v=" 21/3/2023"/>
    <n v="3"/>
  </r>
  <r>
    <s v="C1293"/>
    <s v="O1293"/>
    <s v="ti-84 plus"/>
    <x v="0"/>
    <n v="3"/>
    <n v="125"/>
    <n v="0"/>
    <n v="375"/>
    <x v="50"/>
    <s v=" 21/3/2023"/>
    <n v="4"/>
  </r>
  <r>
    <s v="C1294"/>
    <s v="O1294"/>
    <s v="ti-84 plus ce"/>
    <x v="0"/>
    <n v="1"/>
    <n v="130"/>
    <n v="10"/>
    <n v="120"/>
    <x v="51"/>
    <s v=" 25/3/2023"/>
    <n v="1"/>
  </r>
  <r>
    <s v="C1295"/>
    <s v="O1295"/>
    <s v="ti-84 plus ce"/>
    <x v="0"/>
    <n v="1"/>
    <n v="130"/>
    <n v="10"/>
    <n v="120"/>
    <x v="51"/>
    <s v=" 25/3/2023"/>
    <n v="1"/>
  </r>
  <r>
    <s v="C1296"/>
    <s v="O1296"/>
    <s v="TI-84 PLUS CE PYTHON"/>
    <x v="0"/>
    <n v="1"/>
    <n v="135"/>
    <n v="0"/>
    <n v="135"/>
    <x v="52"/>
    <s v=" 26/3/2023"/>
    <n v="1"/>
  </r>
  <r>
    <s v="C1297"/>
    <s v="O1297"/>
    <s v="TI-84 PLUS CE PYTHON"/>
    <x v="0"/>
    <n v="1"/>
    <n v="135"/>
    <n v="0"/>
    <n v="135"/>
    <x v="52"/>
    <s v=" 26/3/2023"/>
    <n v="3"/>
  </r>
  <r>
    <s v="C1298"/>
    <s v="O1298"/>
    <s v="ti-nspire cx"/>
    <x v="0"/>
    <n v="2"/>
    <n v="190"/>
    <n v="5"/>
    <n v="375"/>
    <x v="53"/>
    <s v=" 25/3/2023"/>
    <n v="3"/>
  </r>
  <r>
    <s v="C1299"/>
    <s v="O1299"/>
    <s v="ti-nspire cx"/>
    <x v="0"/>
    <n v="2"/>
    <n v="190"/>
    <n v="5"/>
    <n v="375"/>
    <x v="53"/>
    <s v=" 25/3/2023"/>
    <n v="1"/>
  </r>
  <r>
    <s v="C1300"/>
    <s v="O1300"/>
    <s v="TI-83 plus"/>
    <x v="0"/>
    <n v="1"/>
    <n v="85"/>
    <n v="0"/>
    <n v="85"/>
    <x v="54"/>
    <s v=" 28/3/2023"/>
    <n v="1"/>
  </r>
  <r>
    <s v="C1301"/>
    <s v="O1301"/>
    <s v="TI-83 plus"/>
    <x v="0"/>
    <n v="1"/>
    <n v="85"/>
    <n v="0"/>
    <n v="85"/>
    <x v="54"/>
    <s v=" 28/3/2023"/>
    <n v="4"/>
  </r>
  <r>
    <s v="C1302"/>
    <s v="O1302"/>
    <s v="ti-84 plus"/>
    <x v="0"/>
    <n v="2"/>
    <n v="125"/>
    <n v="0"/>
    <n v="250"/>
    <x v="55"/>
    <s v=" 28/3/2023"/>
    <n v="2"/>
  </r>
  <r>
    <s v="C1303"/>
    <s v="O1303"/>
    <s v="ti-84 plus"/>
    <x v="0"/>
    <n v="2"/>
    <n v="125"/>
    <n v="0"/>
    <n v="250"/>
    <x v="55"/>
    <s v=" 28/3/2023"/>
    <n v="4"/>
  </r>
  <r>
    <s v="C1304"/>
    <s v="O1304"/>
    <s v="ti-84 plus ce"/>
    <x v="0"/>
    <n v="2"/>
    <n v="130"/>
    <n v="0"/>
    <n v="260"/>
    <x v="56"/>
    <s v=" 29/3/2023"/>
    <n v="1"/>
  </r>
  <r>
    <s v="C1305"/>
    <s v="O1305"/>
    <s v="ti-84 plus ce"/>
    <x v="0"/>
    <n v="2"/>
    <n v="130"/>
    <n v="0"/>
    <n v="260"/>
    <x v="56"/>
    <s v=" 29/3/2023"/>
    <n v="2"/>
  </r>
  <r>
    <s v="C1306"/>
    <s v="O1306"/>
    <s v="ti-84 plus"/>
    <x v="0"/>
    <n v="1"/>
    <n v="125"/>
    <n v="5"/>
    <n v="120"/>
    <x v="57"/>
    <s v=" 29/3/2023"/>
    <n v="3"/>
  </r>
  <r>
    <s v="C1307"/>
    <s v="O1307"/>
    <s v="TI-84 PLUS CE PYTHON"/>
    <x v="0"/>
    <n v="1"/>
    <n v="135"/>
    <n v="0"/>
    <n v="135"/>
    <x v="57"/>
    <s v=" 28/3/2023"/>
    <n v="3"/>
  </r>
  <r>
    <s v="C1308"/>
    <s v="O1308"/>
    <s v="ti-84 plus"/>
    <x v="0"/>
    <n v="1"/>
    <n v="125"/>
    <n v="5"/>
    <n v="120"/>
    <x v="57"/>
    <s v=" 29/3/2023"/>
    <n v="2"/>
  </r>
  <r>
    <s v="C1309"/>
    <s v="O1309"/>
    <s v="TI-84 PLUS CE PYTHON"/>
    <x v="0"/>
    <n v="1"/>
    <n v="135"/>
    <n v="0"/>
    <n v="135"/>
    <x v="57"/>
    <s v=" 28/3/2023"/>
    <n v="4"/>
  </r>
  <r>
    <s v="C1310"/>
    <s v="O1310"/>
    <s v="ti-84 plus ce"/>
    <x v="0"/>
    <n v="1"/>
    <n v="130"/>
    <n v="0"/>
    <n v="130"/>
    <x v="58"/>
    <s v=" 2/4/2023"/>
    <n v="1"/>
  </r>
  <r>
    <s v="C1311"/>
    <s v="O1311"/>
    <s v="TI-84 PLUS CE PYTHON"/>
    <x v="0"/>
    <n v="1"/>
    <n v="135"/>
    <n v="0"/>
    <n v="135"/>
    <x v="58"/>
    <s v=" 3/4/2023"/>
    <n v="3"/>
  </r>
  <r>
    <s v="C1312"/>
    <s v="O1312"/>
    <s v="ti-84 plus ce"/>
    <x v="0"/>
    <n v="1"/>
    <n v="130"/>
    <n v="5"/>
    <n v="125"/>
    <x v="58"/>
    <s v=" 29/3/2023"/>
    <n v="4"/>
  </r>
  <r>
    <s v="C1313"/>
    <s v="O1313"/>
    <s v="TI-83 plus"/>
    <x v="0"/>
    <n v="1"/>
    <n v="85"/>
    <n v="0"/>
    <n v="85"/>
    <x v="58"/>
    <s v=" 1/4/2023"/>
    <n v="2"/>
  </r>
  <r>
    <s v="C1314"/>
    <s v="O1314"/>
    <s v="ti-84 plus ce"/>
    <x v="0"/>
    <n v="1"/>
    <n v="130"/>
    <n v="0"/>
    <n v="130"/>
    <x v="58"/>
    <s v=" 2/4/2023"/>
    <n v="3"/>
  </r>
  <r>
    <s v="C1315"/>
    <s v="O1315"/>
    <s v="TI-84 PLUS CE PYTHON"/>
    <x v="0"/>
    <n v="1"/>
    <n v="135"/>
    <n v="0"/>
    <n v="135"/>
    <x v="58"/>
    <s v=" 3/4/2023"/>
    <n v="3"/>
  </r>
  <r>
    <s v="C1316"/>
    <s v="O1316"/>
    <s v="ti-84 plus ce"/>
    <x v="0"/>
    <n v="1"/>
    <n v="130"/>
    <n v="5"/>
    <n v="125"/>
    <x v="58"/>
    <s v=" 29/3/2023"/>
    <n v="4"/>
  </r>
  <r>
    <s v="C1317"/>
    <s v="O1317"/>
    <s v="TI-83 plus"/>
    <x v="0"/>
    <n v="1"/>
    <n v="85"/>
    <n v="0"/>
    <n v="85"/>
    <x v="58"/>
    <s v=" 1/4/2023"/>
    <n v="2"/>
  </r>
  <r>
    <s v="C1318"/>
    <s v="O1318"/>
    <s v="ti-84 plus ce"/>
    <x v="0"/>
    <n v="1"/>
    <n v="130"/>
    <n v="5"/>
    <n v="125"/>
    <x v="58"/>
    <s v=" 29/3/2023"/>
    <n v="4"/>
  </r>
  <r>
    <s v="C1319"/>
    <s v="O1319"/>
    <s v="TI-83 plus"/>
    <x v="0"/>
    <n v="1"/>
    <n v="85"/>
    <n v="0"/>
    <n v="85"/>
    <x v="58"/>
    <s v=" 1/4/2023"/>
    <n v="1"/>
  </r>
  <r>
    <s v="C1320"/>
    <s v="O1320"/>
    <s v="TI-83 plus"/>
    <x v="0"/>
    <n v="1"/>
    <n v="85"/>
    <n v="0"/>
    <n v="85"/>
    <x v="59"/>
    <s v=" 31/3/2023"/>
    <n v="4"/>
  </r>
  <r>
    <s v="C1321"/>
    <s v="O1321"/>
    <s v="TI-83 plus"/>
    <x v="0"/>
    <n v="1"/>
    <n v="85"/>
    <n v="0"/>
    <n v="85"/>
    <x v="59"/>
    <s v=" 31/3/2023"/>
    <n v="2"/>
  </r>
  <r>
    <s v="C1322"/>
    <s v="O1322"/>
    <s v="ti-84 plus ce"/>
    <x v="0"/>
    <n v="1"/>
    <n v="130"/>
    <n v="10"/>
    <n v="120"/>
    <x v="60"/>
    <s v=" 5/4/2023"/>
    <n v="1"/>
  </r>
  <r>
    <s v="C1323"/>
    <s v="O1323"/>
    <s v="ti-84 plus ce"/>
    <x v="0"/>
    <n v="2"/>
    <n v="130"/>
    <n v="0"/>
    <n v="260"/>
    <x v="60"/>
    <s v=" 2/4/2023"/>
    <n v="2"/>
  </r>
  <r>
    <s v="C1324"/>
    <s v="O1324"/>
    <s v="ti-84 plus ce"/>
    <x v="0"/>
    <n v="1"/>
    <n v="130"/>
    <n v="10"/>
    <n v="120"/>
    <x v="60"/>
    <s v=" 5/4/2023"/>
    <n v="1"/>
  </r>
  <r>
    <s v="C1325"/>
    <s v="O1325"/>
    <s v="ti-84 plus ce"/>
    <x v="0"/>
    <n v="2"/>
    <n v="130"/>
    <n v="0"/>
    <n v="260"/>
    <x v="60"/>
    <s v=" 2/4/2023"/>
    <n v="2"/>
  </r>
  <r>
    <s v="C1326"/>
    <s v="O1326"/>
    <s v="TI-84 PLUS CE PYTHON"/>
    <x v="0"/>
    <n v="2"/>
    <n v="135"/>
    <n v="0"/>
    <n v="270"/>
    <x v="61"/>
    <s v=" 5/4/2023"/>
    <n v="3"/>
  </r>
  <r>
    <s v="C1327"/>
    <s v="O1327"/>
    <s v="ti-nspire cx"/>
    <x v="0"/>
    <n v="1"/>
    <n v="190"/>
    <n v="0"/>
    <n v="190"/>
    <x v="61"/>
    <s v=" 5/4/2023"/>
    <n v="2"/>
  </r>
  <r>
    <s v="C1328"/>
    <s v="O1328"/>
    <s v="TI-84 PLUS CE PYTHON"/>
    <x v="0"/>
    <n v="3"/>
    <n v="135"/>
    <n v="10"/>
    <n v="395"/>
    <x v="61"/>
    <s v=" 2/4/2023"/>
    <n v="3"/>
  </r>
  <r>
    <s v="C1329"/>
    <s v="O1329"/>
    <s v="ti-84 plus ce"/>
    <x v="0"/>
    <n v="1"/>
    <n v="130"/>
    <n v="0"/>
    <n v="130"/>
    <x v="61"/>
    <s v=" 5/4/2023"/>
    <n v="4"/>
  </r>
  <r>
    <s v="C1330"/>
    <s v="O1330"/>
    <s v="TI-84 PLUS CE PYTHON"/>
    <x v="0"/>
    <n v="2"/>
    <n v="135"/>
    <n v="0"/>
    <n v="270"/>
    <x v="61"/>
    <s v=" 5/4/2023"/>
    <n v="3"/>
  </r>
  <r>
    <s v="C1331"/>
    <s v="O1331"/>
    <s v="ti-nspire cx"/>
    <x v="0"/>
    <n v="1"/>
    <n v="190"/>
    <n v="0"/>
    <n v="190"/>
    <x v="61"/>
    <s v=" 5/4/2023"/>
    <n v="1"/>
  </r>
  <r>
    <s v="C1332"/>
    <s v="O1332"/>
    <s v="TI-84 PLUS CE PYTHON"/>
    <x v="0"/>
    <n v="3"/>
    <n v="135"/>
    <n v="10"/>
    <n v="395"/>
    <x v="61"/>
    <s v=" 2/4/2023"/>
    <n v="2"/>
  </r>
  <r>
    <s v="C1333"/>
    <s v="O1333"/>
    <s v="ti-84 plus ce"/>
    <x v="0"/>
    <n v="1"/>
    <n v="130"/>
    <n v="0"/>
    <n v="130"/>
    <x v="61"/>
    <s v=" 5/4/2023"/>
    <n v="4"/>
  </r>
  <r>
    <s v="C1334"/>
    <s v="O1334"/>
    <s v="TI-84 PLUS CE PYTHON"/>
    <x v="0"/>
    <n v="3"/>
    <n v="135"/>
    <n v="10"/>
    <n v="395"/>
    <x v="61"/>
    <s v=" 2/4/2023"/>
    <n v="1"/>
  </r>
  <r>
    <s v="C1335"/>
    <s v="O1335"/>
    <s v="ti-84 plus ce"/>
    <x v="0"/>
    <n v="1"/>
    <n v="130"/>
    <n v="0"/>
    <n v="130"/>
    <x v="61"/>
    <s v=" 5/4/2023"/>
    <n v="2"/>
  </r>
  <r>
    <s v="C1336"/>
    <s v="O1336"/>
    <s v="ti-84 plus ce"/>
    <x v="0"/>
    <n v="2"/>
    <n v="130"/>
    <n v="5"/>
    <n v="255"/>
    <x v="62"/>
    <s v=" 6/4/2023"/>
    <n v="4"/>
  </r>
  <r>
    <s v="C1337"/>
    <s v="O1337"/>
    <s v="Ti-nspire CX II"/>
    <x v="0"/>
    <n v="2"/>
    <n v="210"/>
    <n v="0"/>
    <n v="420"/>
    <x v="62"/>
    <s v=" 8/4/2023"/>
    <n v="1"/>
  </r>
  <r>
    <s v="C1338"/>
    <s v="O1338"/>
    <s v="ti-84 plus ce"/>
    <x v="0"/>
    <n v="2"/>
    <n v="130"/>
    <n v="5"/>
    <n v="255"/>
    <x v="62"/>
    <s v=" 6/4/2023"/>
    <n v="4"/>
  </r>
  <r>
    <s v="C1339"/>
    <s v="O1339"/>
    <s v="Ti-nspire CX II"/>
    <x v="0"/>
    <n v="2"/>
    <n v="210"/>
    <n v="0"/>
    <n v="420"/>
    <x v="62"/>
    <s v=" 8/4/2023"/>
    <n v="2"/>
  </r>
  <r>
    <s v="C1340"/>
    <s v="O1340"/>
    <s v="Ti-nspire CX II"/>
    <x v="0"/>
    <n v="2"/>
    <n v="210"/>
    <n v="0"/>
    <n v="420"/>
    <x v="62"/>
    <s v=" 8/4/2023"/>
    <n v="4"/>
  </r>
  <r>
    <s v="C1341"/>
    <s v="O1341"/>
    <s v="ti-nspire cx"/>
    <x v="0"/>
    <n v="1"/>
    <n v="190"/>
    <n v="5"/>
    <n v="185"/>
    <x v="63"/>
    <s v=" 7/4/2023"/>
    <n v="3"/>
  </r>
  <r>
    <s v="C1342"/>
    <s v="O1342"/>
    <s v="TI-83 plus"/>
    <x v="0"/>
    <n v="1"/>
    <n v="85"/>
    <n v="0"/>
    <n v="85"/>
    <x v="63"/>
    <s v=" 5/4/2023"/>
    <n v="4"/>
  </r>
  <r>
    <s v="C1343"/>
    <s v="O1343"/>
    <s v="TI-84 PLUS CE PYTHON"/>
    <x v="0"/>
    <n v="1"/>
    <n v="135"/>
    <n v="0"/>
    <n v="135"/>
    <x v="63"/>
    <s v=" 9/4/2023"/>
    <n v="3"/>
  </r>
  <r>
    <s v="C1344"/>
    <s v="O1344"/>
    <s v="ti-nspire cx"/>
    <x v="0"/>
    <n v="1"/>
    <n v="190"/>
    <n v="5"/>
    <n v="185"/>
    <x v="63"/>
    <s v=" 7/4/2023"/>
    <n v="4"/>
  </r>
  <r>
    <s v="C1345"/>
    <s v="O1345"/>
    <s v="TI-83 plus"/>
    <x v="0"/>
    <n v="1"/>
    <n v="85"/>
    <n v="0"/>
    <n v="85"/>
    <x v="63"/>
    <s v=" 5/4/2023"/>
    <n v="4"/>
  </r>
  <r>
    <s v="C1346"/>
    <s v="O1346"/>
    <s v="TI-84 PLUS CE PYTHON"/>
    <x v="0"/>
    <n v="1"/>
    <n v="135"/>
    <n v="0"/>
    <n v="135"/>
    <x v="63"/>
    <s v=" 9/4/2023"/>
    <n v="3"/>
  </r>
  <r>
    <s v="C1347"/>
    <s v="O1347"/>
    <s v="ti-84 plus ce"/>
    <x v="0"/>
    <n v="1"/>
    <n v="130"/>
    <n v="0"/>
    <n v="130"/>
    <x v="64"/>
    <s v=" 9/4/2023"/>
    <n v="3"/>
  </r>
  <r>
    <s v="C1348"/>
    <s v="O1348"/>
    <s v="ti-84 plus ce"/>
    <x v="0"/>
    <n v="1"/>
    <n v="130"/>
    <n v="0"/>
    <n v="130"/>
    <x v="64"/>
    <s v=" 7/4/2023"/>
    <n v="4"/>
  </r>
  <r>
    <s v="C1349"/>
    <s v="O1349"/>
    <s v="ti-84 plus ce"/>
    <x v="0"/>
    <n v="1"/>
    <n v="130"/>
    <n v="0"/>
    <n v="130"/>
    <x v="64"/>
    <s v=" 10/4/2023"/>
    <n v="2"/>
  </r>
  <r>
    <s v="C1350"/>
    <s v="O1350"/>
    <s v="ti-84 plus ce"/>
    <x v="0"/>
    <n v="1"/>
    <n v="130"/>
    <n v="0"/>
    <n v="130"/>
    <x v="64"/>
    <s v=" 9/4/2023"/>
    <n v="2"/>
  </r>
  <r>
    <s v="C1351"/>
    <s v="O1351"/>
    <s v="ti-84 plus ce"/>
    <x v="0"/>
    <n v="1"/>
    <n v="130"/>
    <n v="0"/>
    <n v="130"/>
    <x v="64"/>
    <s v=" 7/4/2023"/>
    <n v="3"/>
  </r>
  <r>
    <s v="C1352"/>
    <s v="O1352"/>
    <s v="ti-84 plus ce"/>
    <x v="0"/>
    <n v="1"/>
    <n v="130"/>
    <n v="0"/>
    <n v="130"/>
    <x v="64"/>
    <s v=" 10/4/2023"/>
    <n v="2"/>
  </r>
  <r>
    <s v="C1353"/>
    <s v="O1353"/>
    <s v="ti-84 plus ce"/>
    <x v="0"/>
    <n v="1"/>
    <n v="130"/>
    <n v="5"/>
    <n v="125"/>
    <x v="65"/>
    <s v=" 10/4/2023"/>
    <n v="2"/>
  </r>
  <r>
    <s v="C1354"/>
    <s v="O1354"/>
    <s v="ti-84 plus ce"/>
    <x v="0"/>
    <n v="1"/>
    <n v="130"/>
    <n v="5"/>
    <n v="125"/>
    <x v="65"/>
    <s v=" 10/4/2023"/>
    <n v="1"/>
  </r>
  <r>
    <s v="C1355"/>
    <s v="O1355"/>
    <s v="TI-84 PLUS CE PYTHON"/>
    <x v="0"/>
    <n v="1"/>
    <n v="135"/>
    <n v="10"/>
    <n v="125"/>
    <x v="66"/>
    <s v=" 15/4/2023"/>
    <n v="1"/>
  </r>
  <r>
    <s v="C1356"/>
    <s v="O1356"/>
    <s v="ti-84 plus ce"/>
    <x v="0"/>
    <n v="1"/>
    <n v="130"/>
    <n v="0"/>
    <n v="130"/>
    <x v="66"/>
    <s v=" 11/4/2023"/>
    <n v="4"/>
  </r>
  <r>
    <s v="C1357"/>
    <s v="O1357"/>
    <s v="TI-84 PLUS CE PYTHON"/>
    <x v="0"/>
    <n v="1"/>
    <n v="135"/>
    <n v="10"/>
    <n v="125"/>
    <x v="66"/>
    <s v=" 15/4/2023"/>
    <n v="2"/>
  </r>
  <r>
    <s v="C1358"/>
    <s v="O1358"/>
    <s v="ti-84 plus ce"/>
    <x v="0"/>
    <n v="1"/>
    <n v="130"/>
    <n v="0"/>
    <n v="130"/>
    <x v="66"/>
    <s v=" 11/4/2023"/>
    <n v="3"/>
  </r>
  <r>
    <s v="C1359"/>
    <s v="O1359"/>
    <s v="ti-84 plus ce"/>
    <x v="0"/>
    <n v="2"/>
    <n v="130"/>
    <n v="10"/>
    <n v="250"/>
    <x v="67"/>
    <s v=" 15/4/2023"/>
    <n v="1"/>
  </r>
  <r>
    <s v="C1360"/>
    <s v="O1360"/>
    <s v="Ti-83 Plus SE"/>
    <x v="0"/>
    <n v="2"/>
    <n v="90"/>
    <n v="0"/>
    <n v="180"/>
    <x v="67"/>
    <s v=" 14/4/2023"/>
    <n v="2"/>
  </r>
  <r>
    <s v="C1361"/>
    <s v="O1361"/>
    <s v="ti-84 plus ce"/>
    <x v="0"/>
    <n v="2"/>
    <n v="130"/>
    <n v="10"/>
    <n v="250"/>
    <x v="67"/>
    <s v=" 15/4/2023"/>
    <n v="4"/>
  </r>
  <r>
    <s v="C1362"/>
    <s v="O1362"/>
    <s v="Ti-83 Plus SE"/>
    <x v="0"/>
    <n v="2"/>
    <n v="90"/>
    <n v="0"/>
    <n v="180"/>
    <x v="67"/>
    <s v=" 14/4/2023"/>
    <n v="3"/>
  </r>
  <r>
    <s v="C1363"/>
    <s v="O1363"/>
    <s v="TI-84 PLUS CE PYTHON"/>
    <x v="0"/>
    <n v="1"/>
    <n v="135"/>
    <n v="0"/>
    <n v="135"/>
    <x v="68"/>
    <s v=" 16/4/2023"/>
    <n v="2"/>
  </r>
  <r>
    <s v="C1364"/>
    <s v="O1364"/>
    <s v="ti-nspire cx"/>
    <x v="0"/>
    <n v="2"/>
    <n v="190"/>
    <n v="5"/>
    <n v="375"/>
    <x v="68"/>
    <s v=" 13/4/2023"/>
    <n v="1"/>
  </r>
  <r>
    <s v="C1365"/>
    <s v="O1365"/>
    <s v="TI-84 PLUS CE PYTHON"/>
    <x v="0"/>
    <n v="1"/>
    <n v="135"/>
    <n v="0"/>
    <n v="135"/>
    <x v="68"/>
    <s v=" 16/4/2023"/>
    <n v="1"/>
  </r>
  <r>
    <s v="C1366"/>
    <s v="O1366"/>
    <s v="ti-nspire cx"/>
    <x v="0"/>
    <n v="2"/>
    <n v="190"/>
    <n v="5"/>
    <n v="375"/>
    <x v="68"/>
    <s v=" 13/4/2023"/>
    <n v="2"/>
  </r>
  <r>
    <s v="C1367"/>
    <s v="O1367"/>
    <s v="ti-nspire cx"/>
    <x v="0"/>
    <n v="2"/>
    <n v="190"/>
    <n v="5"/>
    <n v="375"/>
    <x v="68"/>
    <s v=" 13/4/2023"/>
    <n v="4"/>
  </r>
  <r>
    <s v="C1368"/>
    <s v="O1368"/>
    <s v="TI-84 PLUS CE PYTHON"/>
    <x v="0"/>
    <n v="3"/>
    <n v="135"/>
    <n v="0"/>
    <n v="405"/>
    <x v="69"/>
    <s v=" 14/4/2023"/>
    <n v="3"/>
  </r>
  <r>
    <s v="C1369"/>
    <s v="O1369"/>
    <s v="TI-84 PLUS CE PYTHON"/>
    <x v="0"/>
    <n v="3"/>
    <n v="135"/>
    <n v="0"/>
    <n v="405"/>
    <x v="69"/>
    <s v=" 14/4/2023"/>
    <n v="2"/>
  </r>
  <r>
    <s v="C1370"/>
    <s v="O1370"/>
    <s v="TI-84 PLUS CE PYTHON"/>
    <x v="0"/>
    <n v="3"/>
    <n v="135"/>
    <n v="0"/>
    <n v="405"/>
    <x v="69"/>
    <s v=" 14/4/2023"/>
    <n v="3"/>
  </r>
  <r>
    <s v="C1371"/>
    <s v="O1371"/>
    <s v="ti-84 plus ce"/>
    <x v="0"/>
    <n v="1"/>
    <n v="130"/>
    <n v="0"/>
    <n v="130"/>
    <x v="70"/>
    <s v=" 16/4/2023"/>
    <n v="2"/>
  </r>
  <r>
    <s v="C1372"/>
    <s v="O1372"/>
    <s v="TI-84 PLUS CE PYTHON"/>
    <x v="0"/>
    <n v="1"/>
    <n v="135"/>
    <n v="10"/>
    <n v="125"/>
    <x v="70"/>
    <s v=" 16/4/2023"/>
    <n v="1"/>
  </r>
  <r>
    <s v="C1373"/>
    <s v="O1373"/>
    <s v="ti-84 plus ce"/>
    <x v="0"/>
    <n v="1"/>
    <n v="130"/>
    <n v="10"/>
    <n v="120"/>
    <x v="70"/>
    <s v=" 17/4/2023"/>
    <n v="2"/>
  </r>
  <r>
    <s v="C1374"/>
    <s v="O1374"/>
    <s v="ti-84 plus ce"/>
    <x v="0"/>
    <n v="1"/>
    <n v="130"/>
    <n v="0"/>
    <n v="130"/>
    <x v="70"/>
    <s v=" 16/4/2023"/>
    <n v="1"/>
  </r>
  <r>
    <s v="C1375"/>
    <s v="O1375"/>
    <s v="TI-84 PLUS CE PYTHON"/>
    <x v="0"/>
    <n v="1"/>
    <n v="135"/>
    <n v="10"/>
    <n v="125"/>
    <x v="70"/>
    <s v=" 16/4/2023"/>
    <n v="3"/>
  </r>
  <r>
    <s v="C1376"/>
    <s v="O1376"/>
    <s v="ti-84 plus ce"/>
    <x v="0"/>
    <n v="1"/>
    <n v="130"/>
    <n v="10"/>
    <n v="120"/>
    <x v="70"/>
    <s v=" 17/4/2023"/>
    <n v="1"/>
  </r>
  <r>
    <s v="C1377"/>
    <s v="O1377"/>
    <s v="TI-84 PLUS CE PYTHON"/>
    <x v="0"/>
    <n v="1"/>
    <n v="135"/>
    <n v="10"/>
    <n v="125"/>
    <x v="70"/>
    <s v=" 16/4/2023"/>
    <n v="4"/>
  </r>
  <r>
    <s v="C1378"/>
    <s v="O1378"/>
    <s v="ti-84 plus ce"/>
    <x v="0"/>
    <n v="1"/>
    <n v="130"/>
    <n v="10"/>
    <n v="120"/>
    <x v="70"/>
    <s v=" 17/4/2023"/>
    <n v="4"/>
  </r>
  <r>
    <s v="C1379"/>
    <s v="O1379"/>
    <s v="ti-84 plus ce"/>
    <x v="0"/>
    <n v="1"/>
    <n v="130"/>
    <n v="0"/>
    <n v="130"/>
    <x v="71"/>
    <s v=" 19/4/2023"/>
    <n v="2"/>
  </r>
  <r>
    <s v="C1380"/>
    <s v="O1380"/>
    <s v="ti-84 plus"/>
    <x v="0"/>
    <n v="1"/>
    <n v="125"/>
    <n v="5"/>
    <n v="120"/>
    <x v="71"/>
    <s v=" 17/4/2023"/>
    <n v="2"/>
  </r>
  <r>
    <s v="C1381"/>
    <s v="O1381"/>
    <s v="ti-84 plus ce"/>
    <x v="0"/>
    <n v="1"/>
    <n v="130"/>
    <n v="0"/>
    <n v="130"/>
    <x v="71"/>
    <s v=" 19/4/2023"/>
    <n v="4"/>
  </r>
  <r>
    <s v="C1382"/>
    <s v="O1382"/>
    <s v="ti-84 plus"/>
    <x v="0"/>
    <n v="1"/>
    <n v="125"/>
    <n v="5"/>
    <n v="120"/>
    <x v="71"/>
    <s v=" 17/4/2023"/>
    <n v="1"/>
  </r>
  <r>
    <s v="C1383"/>
    <s v="O1383"/>
    <s v="ti-84 plus"/>
    <x v="0"/>
    <n v="1"/>
    <n v="125"/>
    <n v="5"/>
    <n v="120"/>
    <x v="71"/>
    <s v=" 17/4/2023"/>
    <n v="2"/>
  </r>
  <r>
    <s v="C1384"/>
    <s v="O1384"/>
    <s v="Ti-84 Plus C Se"/>
    <x v="0"/>
    <n v="1"/>
    <n v="160"/>
    <n v="0"/>
    <n v="160"/>
    <x v="72"/>
    <s v=" 20/4/2023"/>
    <n v="2"/>
  </r>
  <r>
    <s v="C1385"/>
    <s v="O1385"/>
    <s v="ti-84 plus ce"/>
    <x v="0"/>
    <n v="1"/>
    <n v="130"/>
    <n v="10"/>
    <n v="120"/>
    <x v="72"/>
    <s v=" 21/4/2023"/>
    <n v="1"/>
  </r>
  <r>
    <s v="C1386"/>
    <s v="O1386"/>
    <s v="Ti-84 Plus C Se"/>
    <x v="0"/>
    <n v="1"/>
    <n v="160"/>
    <n v="0"/>
    <n v="160"/>
    <x v="72"/>
    <s v=" 20/4/2023"/>
    <n v="4"/>
  </r>
  <r>
    <s v="C1387"/>
    <s v="O1387"/>
    <s v="ti-84 plus ce"/>
    <x v="0"/>
    <n v="1"/>
    <n v="130"/>
    <n v="10"/>
    <n v="120"/>
    <x v="72"/>
    <s v=" 21/4/2023"/>
    <n v="2"/>
  </r>
  <r>
    <s v="C1388"/>
    <s v="O1388"/>
    <s v="Ti-84 Plus C Se"/>
    <x v="0"/>
    <n v="1"/>
    <n v="160"/>
    <n v="0"/>
    <n v="160"/>
    <x v="72"/>
    <s v=" 20/4/2023"/>
    <n v="1"/>
  </r>
  <r>
    <s v="C1389"/>
    <s v="O1389"/>
    <s v="ti-84 plus ce"/>
    <x v="0"/>
    <n v="1"/>
    <n v="130"/>
    <n v="10"/>
    <n v="120"/>
    <x v="72"/>
    <s v=" 21/4/2023"/>
    <n v="2"/>
  </r>
  <r>
    <s v="C1390"/>
    <s v="O1390"/>
    <s v="Ti-nspire CX II"/>
    <x v="0"/>
    <n v="1"/>
    <n v="210"/>
    <n v="0"/>
    <n v="210"/>
    <x v="73"/>
    <s v=" 24/4/2023"/>
    <n v="1"/>
  </r>
  <r>
    <s v="C1391"/>
    <s v="O1391"/>
    <s v="Ti-nspire CX II"/>
    <x v="0"/>
    <n v="1"/>
    <n v="210"/>
    <n v="0"/>
    <n v="210"/>
    <x v="73"/>
    <s v=" 24/4/2023"/>
    <n v="1"/>
  </r>
  <r>
    <s v="C1392"/>
    <s v="O1392"/>
    <s v="Ti-nspire CX II"/>
    <x v="0"/>
    <n v="1"/>
    <n v="210"/>
    <n v="0"/>
    <n v="210"/>
    <x v="73"/>
    <s v=" 24/4/2023"/>
    <n v="2"/>
  </r>
  <r>
    <s v="C1393"/>
    <s v="O1393"/>
    <s v="TI-84 PLUS CE PYTHON"/>
    <x v="0"/>
    <n v="1"/>
    <n v="135"/>
    <n v="0"/>
    <n v="135"/>
    <x v="74"/>
    <s v=" 23/4/2023"/>
    <n v="4"/>
  </r>
  <r>
    <s v="C1394"/>
    <s v="O1394"/>
    <s v="ti-84 plus"/>
    <x v="0"/>
    <n v="1"/>
    <n v="125"/>
    <n v="0"/>
    <n v="125"/>
    <x v="74"/>
    <s v=" 21/4/2023"/>
    <n v="4"/>
  </r>
  <r>
    <s v="C1395"/>
    <s v="O1395"/>
    <s v="TI-84 PLUS CE PYTHON"/>
    <x v="0"/>
    <n v="1"/>
    <n v="135"/>
    <n v="0"/>
    <n v="135"/>
    <x v="74"/>
    <s v=" 23/4/2023"/>
    <n v="1"/>
  </r>
  <r>
    <s v="C1396"/>
    <s v="O1396"/>
    <s v="ti-84 plus"/>
    <x v="0"/>
    <n v="1"/>
    <n v="125"/>
    <n v="0"/>
    <n v="125"/>
    <x v="74"/>
    <s v=" 21/4/2023"/>
    <n v="3"/>
  </r>
  <r>
    <s v="C1397"/>
    <s v="O1397"/>
    <s v="ti-84 plus ce"/>
    <x v="0"/>
    <n v="1"/>
    <n v="130"/>
    <n v="5"/>
    <n v="125"/>
    <x v="75"/>
    <s v=" 21/4/2023"/>
    <n v="2"/>
  </r>
  <r>
    <s v="C1398"/>
    <s v="O1398"/>
    <s v="TI-84 PLUS CE PYTHON"/>
    <x v="0"/>
    <n v="1"/>
    <n v="135"/>
    <n v="0"/>
    <n v="135"/>
    <x v="75"/>
    <s v=" 24/4/2023"/>
    <n v="4"/>
  </r>
  <r>
    <s v="C1399"/>
    <s v="O1399"/>
    <s v="ti-84 plus ce"/>
    <x v="0"/>
    <n v="1"/>
    <n v="130"/>
    <n v="5"/>
    <n v="125"/>
    <x v="75"/>
    <s v=" 21/4/2023"/>
    <n v="3"/>
  </r>
  <r>
    <s v="C1400"/>
    <s v="O1400"/>
    <s v="TI-84 PLUS CE PYTHON"/>
    <x v="0"/>
    <n v="1"/>
    <n v="135"/>
    <n v="0"/>
    <n v="135"/>
    <x v="75"/>
    <s v=" 24/4/2023"/>
    <n v="4"/>
  </r>
  <r>
    <s v="C1401"/>
    <s v="O1401"/>
    <s v="ti-84 plus ce"/>
    <x v="0"/>
    <n v="1"/>
    <n v="130"/>
    <n v="5"/>
    <n v="125"/>
    <x v="75"/>
    <s v=" 21/4/2023"/>
    <n v="3"/>
  </r>
  <r>
    <s v="C1402"/>
    <s v="O1402"/>
    <s v="TI-84 PLUS CE PYTHON"/>
    <x v="0"/>
    <n v="1"/>
    <n v="135"/>
    <n v="0"/>
    <n v="135"/>
    <x v="75"/>
    <s v=" 24/4/2023"/>
    <n v="1"/>
  </r>
  <r>
    <s v="C1403"/>
    <s v="O1403"/>
    <s v="Ti-nspire CX II"/>
    <x v="0"/>
    <n v="2"/>
    <n v="210"/>
    <n v="10"/>
    <n v="410"/>
    <x v="76"/>
    <s v=" 25/4/2023"/>
    <n v="3"/>
  </r>
  <r>
    <s v="C1404"/>
    <s v="O1404"/>
    <s v="Ti-nspire CX II"/>
    <x v="0"/>
    <n v="2"/>
    <n v="210"/>
    <n v="10"/>
    <n v="410"/>
    <x v="76"/>
    <s v=" 25/4/2023"/>
    <n v="3"/>
  </r>
  <r>
    <s v="C1405"/>
    <s v="O1405"/>
    <s v="Ti-nspire CX II"/>
    <x v="0"/>
    <n v="2"/>
    <n v="210"/>
    <n v="10"/>
    <n v="410"/>
    <x v="76"/>
    <s v=" 25/4/2023"/>
    <n v="3"/>
  </r>
  <r>
    <s v="C1406"/>
    <s v="O1406"/>
    <s v="TI-83 plus"/>
    <x v="0"/>
    <n v="1"/>
    <n v="85"/>
    <n v="10"/>
    <n v="75"/>
    <x v="77"/>
    <s v=" 29/4/2023"/>
    <n v="1"/>
  </r>
  <r>
    <s v="C1407"/>
    <s v="O1407"/>
    <s v="ti-nspire CX II Cas"/>
    <x v="1"/>
    <n v="1"/>
    <n v="215"/>
    <n v="5"/>
    <n v="210"/>
    <x v="77"/>
    <s v=" 28/4/2023"/>
    <n v="1"/>
  </r>
  <r>
    <s v="C1408"/>
    <s v="O1408"/>
    <s v="ti-nspire CX II Cas"/>
    <x v="1"/>
    <n v="1"/>
    <n v="215"/>
    <n v="0"/>
    <n v="215"/>
    <x v="77"/>
    <s v=" 27/4/2023"/>
    <n v="3"/>
  </r>
  <r>
    <s v="C1409"/>
    <s v="O1409"/>
    <s v="TI-83 plus"/>
    <x v="0"/>
    <n v="1"/>
    <n v="85"/>
    <n v="10"/>
    <n v="75"/>
    <x v="77"/>
    <s v=" 29/4/2023"/>
    <n v="1"/>
  </r>
  <r>
    <s v="C1410"/>
    <s v="O1410"/>
    <s v="ti-nspire CX II Cas"/>
    <x v="1"/>
    <n v="1"/>
    <n v="215"/>
    <n v="5"/>
    <n v="210"/>
    <x v="77"/>
    <s v=" 28/4/2023"/>
    <n v="3"/>
  </r>
  <r>
    <s v="C1411"/>
    <s v="O1411"/>
    <s v="ti-nspire CX II Cas"/>
    <x v="1"/>
    <n v="1"/>
    <n v="215"/>
    <n v="0"/>
    <n v="215"/>
    <x v="77"/>
    <s v=" 27/4/2023"/>
    <n v="4"/>
  </r>
  <r>
    <s v="C1412"/>
    <s v="O1412"/>
    <s v="ti-84 plus ce"/>
    <x v="0"/>
    <n v="3"/>
    <n v="130"/>
    <n v="10"/>
    <n v="380"/>
    <x v="78"/>
    <s v=" 28/4/2023"/>
    <n v="2"/>
  </r>
  <r>
    <s v="C1413"/>
    <s v="O1413"/>
    <s v="ti-84 plus ce"/>
    <x v="0"/>
    <n v="3"/>
    <n v="130"/>
    <n v="10"/>
    <n v="380"/>
    <x v="78"/>
    <s v=" 28/4/2023"/>
    <n v="4"/>
  </r>
  <r>
    <s v="C1414"/>
    <s v="O1414"/>
    <s v="ti-84 plus ce"/>
    <x v="0"/>
    <n v="3"/>
    <n v="130"/>
    <n v="10"/>
    <n v="380"/>
    <x v="78"/>
    <s v=" 28/4/2023"/>
    <n v="4"/>
  </r>
  <r>
    <s v="C1415"/>
    <s v="O1415"/>
    <s v="TI-NSPIRE CX CAS"/>
    <x v="1"/>
    <n v="4"/>
    <n v="200"/>
    <n v="0"/>
    <n v="800"/>
    <x v="79"/>
    <s v=" 29/4/2023"/>
    <n v="4"/>
  </r>
  <r>
    <s v="C1416"/>
    <s v="O1416"/>
    <s v="ti-84 plus ce"/>
    <x v="0"/>
    <n v="2"/>
    <n v="130"/>
    <n v="0"/>
    <n v="260"/>
    <x v="79"/>
    <s v=" 26/4/2023"/>
    <n v="1"/>
  </r>
  <r>
    <s v="C1417"/>
    <s v="O1417"/>
    <s v="ti-84 plus ce"/>
    <x v="0"/>
    <n v="2"/>
    <n v="130"/>
    <n v="0"/>
    <n v="260"/>
    <x v="79"/>
    <s v=" 28/4/2023"/>
    <n v="4"/>
  </r>
  <r>
    <s v="C1418"/>
    <s v="O1418"/>
    <s v="TI-NSPIRE CX CAS"/>
    <x v="1"/>
    <n v="4"/>
    <n v="200"/>
    <n v="0"/>
    <n v="800"/>
    <x v="79"/>
    <s v=" 29/4/2023"/>
    <n v="2"/>
  </r>
  <r>
    <s v="C1419"/>
    <s v="O1419"/>
    <s v="ti-84 plus ce"/>
    <x v="0"/>
    <n v="2"/>
    <n v="130"/>
    <n v="0"/>
    <n v="260"/>
    <x v="79"/>
    <s v=" 26/4/2023"/>
    <n v="1"/>
  </r>
  <r>
    <s v="C1420"/>
    <s v="O1420"/>
    <s v="ti-84 plus ce"/>
    <x v="0"/>
    <n v="2"/>
    <n v="130"/>
    <n v="0"/>
    <n v="260"/>
    <x v="79"/>
    <s v=" 28/4/2023"/>
    <n v="1"/>
  </r>
  <r>
    <s v="C1421"/>
    <s v="O1421"/>
    <s v="TI-NSPIRE CX CAS"/>
    <x v="1"/>
    <n v="4"/>
    <n v="200"/>
    <n v="0"/>
    <n v="800"/>
    <x v="79"/>
    <s v=" 29/4/2023"/>
    <n v="2"/>
  </r>
  <r>
    <s v="C1422"/>
    <s v="O1422"/>
    <s v="TI-NSPIRE CX CAS"/>
    <x v="1"/>
    <n v="1"/>
    <n v="200"/>
    <n v="0"/>
    <n v="200"/>
    <x v="80"/>
    <s v=" 1/5/2023"/>
    <n v="4"/>
  </r>
  <r>
    <s v="C1423"/>
    <s v="O1423"/>
    <s v="TI-83 plus"/>
    <x v="0"/>
    <n v="2"/>
    <n v="85"/>
    <n v="0"/>
    <n v="170"/>
    <x v="80"/>
    <s v=" 28/4/2023"/>
    <n v="2"/>
  </r>
  <r>
    <s v="C1424"/>
    <s v="O1424"/>
    <s v="TI-NSPIRE CX CAS"/>
    <x v="1"/>
    <n v="1"/>
    <n v="200"/>
    <n v="0"/>
    <n v="200"/>
    <x v="80"/>
    <s v=" 1/5/2023"/>
    <n v="2"/>
  </r>
  <r>
    <s v="C1425"/>
    <s v="O1425"/>
    <s v="TI-83 plus"/>
    <x v="0"/>
    <n v="2"/>
    <n v="85"/>
    <n v="0"/>
    <n v="170"/>
    <x v="80"/>
    <s v=" 28/4/2023"/>
    <n v="3"/>
  </r>
  <r>
    <s v="C1426"/>
    <s v="O1426"/>
    <s v="TI-83 plus"/>
    <x v="0"/>
    <n v="2"/>
    <n v="85"/>
    <n v="0"/>
    <n v="170"/>
    <x v="80"/>
    <s v=" 28/4/2023"/>
    <n v="1"/>
  </r>
  <r>
    <s v="C1427"/>
    <s v="O1427"/>
    <s v="TI-84 PLUS CE PYTHON"/>
    <x v="0"/>
    <n v="1"/>
    <n v="135"/>
    <n v="10"/>
    <n v="125"/>
    <x v="81"/>
    <s v=" 29/4/2023"/>
    <n v="1"/>
  </r>
  <r>
    <s v="C1428"/>
    <s v="O1428"/>
    <s v="ti-84 plus"/>
    <x v="0"/>
    <n v="1"/>
    <n v="125"/>
    <n v="5"/>
    <n v="120"/>
    <x v="81"/>
    <s v=" 2/5/2023"/>
    <n v="3"/>
  </r>
  <r>
    <s v="C1429"/>
    <s v="O1429"/>
    <s v="ti-nspire CX II Cas"/>
    <x v="1"/>
    <n v="1"/>
    <n v="215"/>
    <n v="10"/>
    <n v="205"/>
    <x v="81"/>
    <s v=" 1/5/2023"/>
    <n v="1"/>
  </r>
  <r>
    <s v="C1430"/>
    <s v="O1430"/>
    <s v="ti-89 titanium"/>
    <x v="1"/>
    <n v="2"/>
    <n v="220"/>
    <n v="10"/>
    <n v="430"/>
    <x v="81"/>
    <s v=" 1/5/2023"/>
    <n v="3"/>
  </r>
  <r>
    <s v="C1431"/>
    <s v="O1431"/>
    <s v="TI-84 PLUS CE PYTHON"/>
    <x v="0"/>
    <n v="1"/>
    <n v="135"/>
    <n v="10"/>
    <n v="125"/>
    <x v="81"/>
    <s v=" 29/4/2023"/>
    <n v="1"/>
  </r>
  <r>
    <s v="C1432"/>
    <s v="O1432"/>
    <s v="ti-84 plus"/>
    <x v="0"/>
    <n v="1"/>
    <n v="125"/>
    <n v="5"/>
    <n v="120"/>
    <x v="81"/>
    <s v=" 2/5/2023"/>
    <n v="3"/>
  </r>
  <r>
    <s v="C1433"/>
    <s v="O1433"/>
    <s v="ti-nspire CX II Cas"/>
    <x v="1"/>
    <n v="1"/>
    <n v="215"/>
    <n v="10"/>
    <n v="205"/>
    <x v="81"/>
    <s v=" 1/5/2023"/>
    <n v="3"/>
  </r>
  <r>
    <s v="C1434"/>
    <s v="O1434"/>
    <s v="ti-89 titanium"/>
    <x v="1"/>
    <n v="2"/>
    <n v="220"/>
    <n v="10"/>
    <n v="430"/>
    <x v="81"/>
    <s v=" 1/5/2023"/>
    <n v="4"/>
  </r>
  <r>
    <s v="C1435"/>
    <s v="O1435"/>
    <s v="ti-89 titanium"/>
    <x v="1"/>
    <n v="2"/>
    <n v="220"/>
    <n v="10"/>
    <n v="430"/>
    <x v="81"/>
    <s v=" 1/5/2023"/>
    <n v="1"/>
  </r>
  <r>
    <s v="C1436"/>
    <s v="O1436"/>
    <s v="ti-84 plus"/>
    <x v="0"/>
    <n v="2"/>
    <n v="125"/>
    <n v="0"/>
    <n v="250"/>
    <x v="82"/>
    <s v=" 2/5/2023"/>
    <n v="2"/>
  </r>
  <r>
    <s v="C1437"/>
    <s v="O1437"/>
    <s v="ti-84 plus"/>
    <x v="0"/>
    <n v="2"/>
    <n v="125"/>
    <n v="0"/>
    <n v="250"/>
    <x v="82"/>
    <s v=" 2/5/2023"/>
    <n v="4"/>
  </r>
  <r>
    <s v="C1438"/>
    <s v="O1438"/>
    <s v="ti-84 plus ce"/>
    <x v="0"/>
    <n v="3"/>
    <n v="130"/>
    <n v="0"/>
    <n v="390"/>
    <x v="83"/>
    <s v=" 5/5/2023"/>
    <n v="3"/>
  </r>
  <r>
    <s v="C1439"/>
    <s v="O1439"/>
    <s v="TI-84 PLUS CE PYTHON"/>
    <x v="0"/>
    <n v="1"/>
    <n v="135"/>
    <n v="0"/>
    <n v="135"/>
    <x v="83"/>
    <s v=" 2/5/2023"/>
    <n v="4"/>
  </r>
  <r>
    <s v="C1440"/>
    <s v="O1440"/>
    <s v="ti-84 plus ce"/>
    <x v="0"/>
    <n v="1"/>
    <n v="130"/>
    <n v="0"/>
    <n v="130"/>
    <x v="83"/>
    <s v=" 30/4/2023"/>
    <n v="4"/>
  </r>
  <r>
    <s v="C1441"/>
    <s v="O1441"/>
    <s v="ti-84 plus ce"/>
    <x v="0"/>
    <n v="1"/>
    <n v="130"/>
    <n v="0"/>
    <n v="130"/>
    <x v="83"/>
    <s v=" 30/4/2023"/>
    <n v="1"/>
  </r>
  <r>
    <s v="C1442"/>
    <s v="O1442"/>
    <s v="ti-84 plus ce"/>
    <x v="0"/>
    <n v="3"/>
    <n v="130"/>
    <n v="0"/>
    <n v="390"/>
    <x v="83"/>
    <s v=" 5/5/2023"/>
    <n v="4"/>
  </r>
  <r>
    <s v="C1443"/>
    <s v="O1443"/>
    <s v="TI-84 PLUS CE PYTHON"/>
    <x v="0"/>
    <n v="1"/>
    <n v="135"/>
    <n v="0"/>
    <n v="135"/>
    <x v="83"/>
    <s v=" 2/5/2023"/>
    <n v="1"/>
  </r>
  <r>
    <s v="C1444"/>
    <s v="O1444"/>
    <s v="ti-84 plus ce"/>
    <x v="0"/>
    <n v="1"/>
    <n v="130"/>
    <n v="0"/>
    <n v="130"/>
    <x v="83"/>
    <s v=" 30/4/2023"/>
    <n v="1"/>
  </r>
  <r>
    <s v="C1445"/>
    <s v="O1445"/>
    <s v="ti-84 plus ce"/>
    <x v="0"/>
    <n v="1"/>
    <n v="130"/>
    <n v="0"/>
    <n v="130"/>
    <x v="83"/>
    <s v=" 30/4/2023"/>
    <n v="4"/>
  </r>
  <r>
    <s v="C1446"/>
    <s v="O1446"/>
    <s v="ti-84 plus ce"/>
    <x v="0"/>
    <n v="1"/>
    <n v="130"/>
    <n v="0"/>
    <n v="130"/>
    <x v="83"/>
    <s v=" 30/4/2023"/>
    <n v="4"/>
  </r>
  <r>
    <s v="C1447"/>
    <s v="O1447"/>
    <s v="ti-84 plus ce"/>
    <x v="0"/>
    <n v="2"/>
    <n v="130"/>
    <n v="0"/>
    <n v="260"/>
    <x v="84"/>
    <s v=" 3/5/2023"/>
    <n v="2"/>
  </r>
  <r>
    <s v="C1448"/>
    <s v="O1448"/>
    <s v="ti-nspire cx"/>
    <x v="0"/>
    <n v="1"/>
    <n v="190"/>
    <n v="5"/>
    <n v="185"/>
    <x v="84"/>
    <s v=" 3/5/2023"/>
    <n v="4"/>
  </r>
  <r>
    <s v="C1449"/>
    <s v="O1449"/>
    <s v="ti-84 plus ce"/>
    <x v="0"/>
    <n v="2"/>
    <n v="130"/>
    <n v="0"/>
    <n v="260"/>
    <x v="84"/>
    <s v=" 3/5/2023"/>
    <n v="1"/>
  </r>
  <r>
    <s v="C1450"/>
    <s v="O1450"/>
    <s v="ti-nspire cx"/>
    <x v="0"/>
    <n v="1"/>
    <n v="190"/>
    <n v="5"/>
    <n v="185"/>
    <x v="84"/>
    <s v=" 3/5/2023"/>
    <n v="2"/>
  </r>
  <r>
    <s v="C1451"/>
    <s v="O1451"/>
    <s v="TI-84 PLUS CE PYTHON"/>
    <x v="0"/>
    <n v="1"/>
    <n v="135"/>
    <n v="5"/>
    <n v="130"/>
    <x v="85"/>
    <s v=" 8/5/2023"/>
    <n v="2"/>
  </r>
  <r>
    <s v="C1452"/>
    <s v="O1452"/>
    <s v="ti-84 plus ce"/>
    <x v="0"/>
    <n v="1"/>
    <n v="130"/>
    <n v="10"/>
    <n v="120"/>
    <x v="85"/>
    <s v=" 5/5/2023"/>
    <n v="4"/>
  </r>
  <r>
    <s v="C1453"/>
    <s v="O1453"/>
    <s v="TI-84 PLUS CE PYTHON"/>
    <x v="0"/>
    <n v="1"/>
    <n v="135"/>
    <n v="5"/>
    <n v="130"/>
    <x v="85"/>
    <s v=" 8/5/2023"/>
    <n v="4"/>
  </r>
  <r>
    <s v="C1454"/>
    <s v="O1454"/>
    <s v="ti-84 plus ce"/>
    <x v="0"/>
    <n v="1"/>
    <n v="130"/>
    <n v="10"/>
    <n v="120"/>
    <x v="85"/>
    <s v=" 5/5/2023"/>
    <n v="1"/>
  </r>
  <r>
    <s v="C1455"/>
    <s v="O1455"/>
    <s v="TI-84 PLUS CE PYTHON"/>
    <x v="0"/>
    <n v="1"/>
    <n v="135"/>
    <n v="5"/>
    <n v="130"/>
    <x v="85"/>
    <s v=" 8/5/2023"/>
    <n v="3"/>
  </r>
  <r>
    <s v="C1456"/>
    <s v="O1456"/>
    <s v="ti-84 plus ce"/>
    <x v="0"/>
    <n v="1"/>
    <n v="130"/>
    <n v="10"/>
    <n v="120"/>
    <x v="85"/>
    <s v=" 5/5/2023"/>
    <n v="3"/>
  </r>
  <r>
    <s v="C1457"/>
    <s v="O1457"/>
    <s v="TI-NSPIRE CX CAS"/>
    <x v="1"/>
    <n v="1"/>
    <n v="200"/>
    <n v="0"/>
    <n v="200"/>
    <x v="86"/>
    <s v=" 5/5/2023"/>
    <n v="2"/>
  </r>
  <r>
    <s v="C1458"/>
    <s v="O1458"/>
    <s v="TI-NSPIRE CX CAS"/>
    <x v="1"/>
    <n v="1"/>
    <n v="200"/>
    <n v="0"/>
    <n v="200"/>
    <x v="86"/>
    <s v=" 5/5/2023"/>
    <n v="1"/>
  </r>
  <r>
    <s v="C1459"/>
    <s v="O1459"/>
    <s v="ti-84 plus ce"/>
    <x v="0"/>
    <n v="1"/>
    <n v="130"/>
    <n v="0"/>
    <n v="130"/>
    <x v="87"/>
    <s v=" 6/5/2023"/>
    <n v="3"/>
  </r>
  <r>
    <s v="C1460"/>
    <s v="O1460"/>
    <s v="ti-nspire cx"/>
    <x v="0"/>
    <n v="1"/>
    <n v="190"/>
    <n v="5"/>
    <n v="185"/>
    <x v="87"/>
    <s v=" 6/5/2023"/>
    <n v="2"/>
  </r>
  <r>
    <s v="C1461"/>
    <s v="O1461"/>
    <s v="ti-84 plus ce"/>
    <x v="0"/>
    <n v="1"/>
    <n v="130"/>
    <n v="0"/>
    <n v="130"/>
    <x v="87"/>
    <s v=" 6/5/2023"/>
    <n v="3"/>
  </r>
  <r>
    <s v="C1462"/>
    <s v="O1462"/>
    <s v="ti-nspire cx"/>
    <x v="0"/>
    <n v="1"/>
    <n v="190"/>
    <n v="5"/>
    <n v="185"/>
    <x v="87"/>
    <s v=" 6/5/2023"/>
    <n v="1"/>
  </r>
  <r>
    <s v="C1463"/>
    <s v="O1463"/>
    <s v="ti-nspire cx"/>
    <x v="0"/>
    <n v="1"/>
    <n v="190"/>
    <n v="5"/>
    <n v="185"/>
    <x v="87"/>
    <s v=" 6/5/2023"/>
    <n v="2"/>
  </r>
  <r>
    <s v="C1464"/>
    <s v="O1464"/>
    <s v="TI-84 PLUS CE PYTHON"/>
    <x v="0"/>
    <n v="2"/>
    <n v="135"/>
    <n v="0"/>
    <n v="270"/>
    <x v="88"/>
    <s v=" 10/5/2023"/>
    <n v="1"/>
  </r>
  <r>
    <s v="C1465"/>
    <s v="O1465"/>
    <s v="TI-84 PLUS CE PYTHON"/>
    <x v="0"/>
    <n v="2"/>
    <n v="135"/>
    <n v="0"/>
    <n v="270"/>
    <x v="88"/>
    <s v=" 10/5/2023"/>
    <n v="2"/>
  </r>
  <r>
    <s v="C1466"/>
    <s v="O1466"/>
    <s v="ti-nspire CX II Cas"/>
    <x v="1"/>
    <n v="3"/>
    <n v="215"/>
    <n v="0"/>
    <n v="645"/>
    <x v="89"/>
    <s v=" 13/5/2023"/>
    <n v="4"/>
  </r>
  <r>
    <s v="C1467"/>
    <s v="O1467"/>
    <s v="ti-84 plus"/>
    <x v="0"/>
    <n v="3"/>
    <n v="125"/>
    <n v="0"/>
    <n v="375"/>
    <x v="89"/>
    <s v=" 8/5/2023"/>
    <n v="3"/>
  </r>
  <r>
    <s v="C1468"/>
    <s v="O1468"/>
    <s v="ti-84 plus ce"/>
    <x v="0"/>
    <n v="1"/>
    <n v="130"/>
    <n v="5"/>
    <n v="125"/>
    <x v="89"/>
    <s v=" 10/5/2023"/>
    <n v="1"/>
  </r>
  <r>
    <s v="C1469"/>
    <s v="O1469"/>
    <s v="ti-nspire CX II Cas"/>
    <x v="1"/>
    <n v="3"/>
    <n v="215"/>
    <n v="0"/>
    <n v="645"/>
    <x v="89"/>
    <s v=" 13/5/2023"/>
    <n v="3"/>
  </r>
  <r>
    <s v="C1470"/>
    <s v="O1470"/>
    <s v="ti-84 plus"/>
    <x v="0"/>
    <n v="3"/>
    <n v="125"/>
    <n v="0"/>
    <n v="375"/>
    <x v="89"/>
    <s v=" 8/5/2023"/>
    <n v="3"/>
  </r>
  <r>
    <s v="C1471"/>
    <s v="O1471"/>
    <s v="ti-84 plus ce"/>
    <x v="0"/>
    <n v="1"/>
    <n v="130"/>
    <n v="5"/>
    <n v="125"/>
    <x v="89"/>
    <s v=" 10/5/2023"/>
    <n v="2"/>
  </r>
  <r>
    <s v="C1472"/>
    <s v="O1472"/>
    <s v="ti-84 plus"/>
    <x v="0"/>
    <n v="3"/>
    <n v="125"/>
    <n v="0"/>
    <n v="375"/>
    <x v="89"/>
    <s v=" 8/5/2023"/>
    <n v="2"/>
  </r>
  <r>
    <s v="C1473"/>
    <s v="O1473"/>
    <s v="ti-nspire cx"/>
    <x v="0"/>
    <n v="1"/>
    <n v="190"/>
    <n v="10"/>
    <n v="180"/>
    <x v="90"/>
    <s v=" 14/5/2023"/>
    <n v="2"/>
  </r>
  <r>
    <s v="C1474"/>
    <s v="O1474"/>
    <s v="ti-nspire cx"/>
    <x v="0"/>
    <n v="1"/>
    <n v="190"/>
    <n v="10"/>
    <n v="180"/>
    <x v="90"/>
    <s v=" 14/5/2023"/>
    <n v="2"/>
  </r>
  <r>
    <s v="C1475"/>
    <s v="O1475"/>
    <s v="TI-83 plus"/>
    <x v="0"/>
    <n v="1"/>
    <n v="85"/>
    <n v="10"/>
    <n v="75"/>
    <x v="91"/>
    <s v=" 15/5/2023"/>
    <n v="1"/>
  </r>
  <r>
    <s v="C1476"/>
    <s v="O1476"/>
    <s v="TI-83 plus"/>
    <x v="0"/>
    <n v="1"/>
    <n v="85"/>
    <n v="10"/>
    <n v="75"/>
    <x v="91"/>
    <s v=" 15/5/2023"/>
    <n v="2"/>
  </r>
  <r>
    <s v="C1477"/>
    <s v="O1477"/>
    <s v="ti-84 plus ce"/>
    <x v="0"/>
    <n v="4"/>
    <n v="130"/>
    <n v="5"/>
    <n v="515"/>
    <x v="92"/>
    <s v=" 17/5/2023"/>
    <n v="3"/>
  </r>
  <r>
    <s v="C1478"/>
    <s v="O1478"/>
    <s v="ti-84 plus ce"/>
    <x v="0"/>
    <n v="4"/>
    <n v="130"/>
    <n v="5"/>
    <n v="515"/>
    <x v="92"/>
    <s v=" 17/5/2023"/>
    <n v="1"/>
  </r>
  <r>
    <s v="C1479"/>
    <s v="O1479"/>
    <s v="ti-84 plus ce"/>
    <x v="0"/>
    <n v="2"/>
    <n v="130"/>
    <n v="10"/>
    <n v="250"/>
    <x v="93"/>
    <s v=" 16/5/2023"/>
    <n v="4"/>
  </r>
  <r>
    <s v="C1480"/>
    <s v="O1480"/>
    <s v="ti-84 plus ce"/>
    <x v="0"/>
    <n v="2"/>
    <n v="130"/>
    <n v="10"/>
    <n v="250"/>
    <x v="93"/>
    <s v=" 16/5/2023"/>
    <n v="3"/>
  </r>
  <r>
    <s v="C1481"/>
    <s v="O1481"/>
    <s v="Ti-84 Plus C Se"/>
    <x v="0"/>
    <n v="1"/>
    <n v="160"/>
    <n v="0"/>
    <n v="160"/>
    <x v="94"/>
    <s v=" 19/5/2023"/>
    <n v="4"/>
  </r>
  <r>
    <s v="C1482"/>
    <s v="O1482"/>
    <s v="Ti-84 Plus C Se"/>
    <x v="0"/>
    <n v="1"/>
    <n v="160"/>
    <n v="0"/>
    <n v="160"/>
    <x v="94"/>
    <s v=" 19/5/2023"/>
    <n v="2"/>
  </r>
  <r>
    <s v="C1483"/>
    <s v="O1483"/>
    <s v="ti-84 plus ce"/>
    <x v="0"/>
    <n v="1"/>
    <n v="130"/>
    <n v="0"/>
    <n v="130"/>
    <x v="95"/>
    <s v=" 20/5/2023"/>
    <n v="2"/>
  </r>
  <r>
    <s v="C1484"/>
    <s v="O1484"/>
    <s v="ti-84 plus ce"/>
    <x v="0"/>
    <n v="1"/>
    <n v="130"/>
    <n v="0"/>
    <n v="130"/>
    <x v="95"/>
    <s v=" 20/5/2023"/>
    <n v="1"/>
  </r>
  <r>
    <s v="C1485"/>
    <s v="O1485"/>
    <s v="ti-84 plus ce"/>
    <x v="0"/>
    <n v="1"/>
    <n v="130"/>
    <n v="0"/>
    <n v="130"/>
    <x v="95"/>
    <s v=" 20/5/2023"/>
    <n v="2"/>
  </r>
  <r>
    <s v="C1486"/>
    <s v="O1486"/>
    <s v="ti-84 plus ce"/>
    <x v="0"/>
    <n v="1"/>
    <n v="130"/>
    <n v="10"/>
    <n v="120"/>
    <x v="96"/>
    <s v=" 18/5/2023"/>
    <n v="4"/>
  </r>
  <r>
    <s v="C1487"/>
    <s v="O1487"/>
    <s v="ti-84 plus ce"/>
    <x v="0"/>
    <n v="1"/>
    <n v="130"/>
    <n v="0"/>
    <n v="130"/>
    <x v="96"/>
    <s v=" 20/5/2023"/>
    <n v="3"/>
  </r>
  <r>
    <s v="C1488"/>
    <s v="O1488"/>
    <s v="ti-84 plus ce"/>
    <x v="0"/>
    <n v="1"/>
    <n v="130"/>
    <n v="10"/>
    <n v="120"/>
    <x v="96"/>
    <s v=" 18/5/2023"/>
    <n v="2"/>
  </r>
  <r>
    <s v="C1489"/>
    <s v="O1489"/>
    <s v="ti-84 plus ce"/>
    <x v="0"/>
    <n v="1"/>
    <n v="130"/>
    <n v="0"/>
    <n v="130"/>
    <x v="96"/>
    <s v=" 20/5/2023"/>
    <n v="3"/>
  </r>
  <r>
    <s v="C1490"/>
    <s v="O1490"/>
    <s v="ti-84 plus ce"/>
    <x v="0"/>
    <n v="1"/>
    <n v="130"/>
    <n v="0"/>
    <n v="130"/>
    <x v="96"/>
    <s v=" 20/5/2023"/>
    <n v="1"/>
  </r>
  <r>
    <s v="C1491"/>
    <s v="O1491"/>
    <s v="ti-84 plus ce"/>
    <x v="0"/>
    <n v="1"/>
    <n v="130"/>
    <n v="5"/>
    <n v="125"/>
    <x v="97"/>
    <s v=" 19/5/2023"/>
    <n v="3"/>
  </r>
  <r>
    <s v="C1492"/>
    <s v="O1492"/>
    <s v="ti-84 plus ce"/>
    <x v="0"/>
    <n v="1"/>
    <n v="130"/>
    <n v="5"/>
    <n v="125"/>
    <x v="97"/>
    <s v=" 19/5/2023"/>
    <n v="2"/>
  </r>
  <r>
    <s v="C1493"/>
    <s v="O1493"/>
    <s v="Ti-84 Plus C Se"/>
    <x v="0"/>
    <n v="1"/>
    <n v="160"/>
    <n v="10"/>
    <n v="150"/>
    <x v="98"/>
    <s v=" 18/5/2023"/>
    <n v="1"/>
  </r>
  <r>
    <s v="C1494"/>
    <s v="O1494"/>
    <s v="Ti-84 Plus C Se"/>
    <x v="0"/>
    <n v="1"/>
    <n v="160"/>
    <n v="10"/>
    <n v="150"/>
    <x v="98"/>
    <s v=" 18/5/2023"/>
    <n v="1"/>
  </r>
  <r>
    <s v="C1495"/>
    <s v="O1495"/>
    <s v="ti-84 plus ce"/>
    <x v="0"/>
    <n v="3"/>
    <n v="130"/>
    <n v="0"/>
    <n v="390"/>
    <x v="99"/>
    <s v=" 23/5/2023"/>
    <n v="4"/>
  </r>
  <r>
    <s v="C1496"/>
    <s v="O1496"/>
    <s v="ti-84 plus ce"/>
    <x v="0"/>
    <n v="3"/>
    <n v="130"/>
    <n v="0"/>
    <n v="390"/>
    <x v="99"/>
    <s v=" 23/5/2023"/>
    <n v="3"/>
  </r>
  <r>
    <s v="C1497"/>
    <s v="O1497"/>
    <s v="ti-84 plus ce"/>
    <x v="0"/>
    <n v="1"/>
    <n v="130"/>
    <n v="0"/>
    <n v="130"/>
    <x v="100"/>
    <s v=" 24/5/2023"/>
    <n v="4"/>
  </r>
  <r>
    <s v="C1498"/>
    <s v="O1498"/>
    <s v="ti-84 plus ce"/>
    <x v="0"/>
    <n v="1"/>
    <n v="130"/>
    <n v="0"/>
    <n v="130"/>
    <x v="100"/>
    <s v=" 24/5/2023"/>
    <n v="3"/>
  </r>
  <r>
    <s v="C1499"/>
    <s v="O1499"/>
    <s v="ti-84 plus ce"/>
    <x v="0"/>
    <n v="1"/>
    <n v="130"/>
    <n v="0"/>
    <n v="130"/>
    <x v="101"/>
    <s v=" 28/5/2023"/>
    <n v="2"/>
  </r>
  <r>
    <s v="C1500"/>
    <s v="O1500"/>
    <s v="ti-nspire cx"/>
    <x v="0"/>
    <n v="1"/>
    <n v="190"/>
    <n v="5"/>
    <n v="185"/>
    <x v="101"/>
    <s v=" 23/5/2023"/>
    <n v="4"/>
  </r>
  <r>
    <s v="C1501"/>
    <s v="O1501"/>
    <s v="ti-84 plus ce"/>
    <x v="0"/>
    <n v="1"/>
    <n v="130"/>
    <n v="0"/>
    <n v="130"/>
    <x v="101"/>
    <s v=" 28/5/2023"/>
    <n v="1"/>
  </r>
  <r>
    <s v="C1502"/>
    <s v="O1502"/>
    <s v="ti-nspire cx"/>
    <x v="0"/>
    <n v="1"/>
    <n v="190"/>
    <n v="5"/>
    <n v="185"/>
    <x v="101"/>
    <s v=" 23/5/2023"/>
    <n v="2"/>
  </r>
  <r>
    <s v="C1503"/>
    <s v="O1503"/>
    <s v="ti-84 plus ce"/>
    <x v="0"/>
    <n v="1"/>
    <n v="130"/>
    <n v="0"/>
    <n v="130"/>
    <x v="101"/>
    <s v=" 28/5/2023"/>
    <n v="2"/>
  </r>
  <r>
    <s v="C1504"/>
    <s v="O1504"/>
    <s v="Ti-nspire CX II"/>
    <x v="0"/>
    <n v="1"/>
    <n v="210"/>
    <n v="0"/>
    <n v="210"/>
    <x v="102"/>
    <s v=" 25/5/2023"/>
    <n v="3"/>
  </r>
  <r>
    <s v="C1505"/>
    <s v="O1505"/>
    <s v="TI-84 PLUS CE PYTHON"/>
    <x v="0"/>
    <n v="2"/>
    <n v="135"/>
    <n v="0"/>
    <n v="270"/>
    <x v="102"/>
    <s v=" 26/5/2023"/>
    <n v="3"/>
  </r>
  <r>
    <s v="C1506"/>
    <s v="O1506"/>
    <s v="ti-84 plus ce"/>
    <x v="0"/>
    <n v="1"/>
    <n v="130"/>
    <n v="0"/>
    <n v="130"/>
    <x v="102"/>
    <s v=" 30/5/2023"/>
    <n v="1"/>
  </r>
  <r>
    <s v="C1507"/>
    <s v="O1507"/>
    <s v="TI-NSPIRE CX CAS"/>
    <x v="1"/>
    <n v="1"/>
    <n v="200"/>
    <n v="0"/>
    <n v="200"/>
    <x v="102"/>
    <s v=" 30/5/2023"/>
    <n v="4"/>
  </r>
  <r>
    <s v="C1508"/>
    <s v="O1508"/>
    <s v="TI-84 PLUS CE PYTHON"/>
    <x v="0"/>
    <n v="2"/>
    <n v="135"/>
    <n v="0"/>
    <n v="270"/>
    <x v="102"/>
    <s v=" 25/5/2023"/>
    <n v="1"/>
  </r>
  <r>
    <s v="C1509"/>
    <s v="O1509"/>
    <s v="Ti-nspire CX II"/>
    <x v="0"/>
    <n v="1"/>
    <n v="210"/>
    <n v="0"/>
    <n v="210"/>
    <x v="102"/>
    <s v=" 25/5/2023"/>
    <n v="2"/>
  </r>
  <r>
    <s v="C1510"/>
    <s v="O1510"/>
    <s v="TI-84 PLUS CE PYTHON"/>
    <x v="0"/>
    <n v="2"/>
    <n v="135"/>
    <n v="0"/>
    <n v="270"/>
    <x v="102"/>
    <s v=" 26/5/2023"/>
    <n v="3"/>
  </r>
  <r>
    <s v="C1511"/>
    <s v="O1511"/>
    <s v="ti-84 plus ce"/>
    <x v="0"/>
    <n v="1"/>
    <n v="130"/>
    <n v="0"/>
    <n v="130"/>
    <x v="102"/>
    <s v=" 30/5/2023"/>
    <n v="3"/>
  </r>
  <r>
    <s v="C1512"/>
    <s v="O1512"/>
    <s v="TI-NSPIRE CX CAS"/>
    <x v="1"/>
    <n v="1"/>
    <n v="200"/>
    <n v="0"/>
    <n v="200"/>
    <x v="102"/>
    <s v=" 30/5/2023"/>
    <n v="4"/>
  </r>
  <r>
    <s v="C1513"/>
    <s v="O1513"/>
    <s v="TI-84 PLUS CE PYTHON"/>
    <x v="0"/>
    <n v="2"/>
    <n v="135"/>
    <n v="0"/>
    <n v="270"/>
    <x v="102"/>
    <s v=" 25/5/2023"/>
    <n v="2"/>
  </r>
  <r>
    <s v="C1514"/>
    <s v="O1514"/>
    <s v="TI-84 PLUS CE PYTHON"/>
    <x v="0"/>
    <n v="2"/>
    <n v="135"/>
    <n v="0"/>
    <n v="270"/>
    <x v="102"/>
    <s v=" 26/5/2023"/>
    <n v="2"/>
  </r>
  <r>
    <s v="C1515"/>
    <s v="O1515"/>
    <s v="ti-84 plus ce"/>
    <x v="0"/>
    <n v="1"/>
    <n v="130"/>
    <n v="0"/>
    <n v="130"/>
    <x v="102"/>
    <s v=" 30/5/2023"/>
    <n v="1"/>
  </r>
  <r>
    <s v="C1516"/>
    <s v="O1516"/>
    <s v="TI-NSPIRE CX CAS"/>
    <x v="1"/>
    <n v="1"/>
    <n v="200"/>
    <n v="0"/>
    <n v="200"/>
    <x v="102"/>
    <s v=" 30/5/2023"/>
    <n v="1"/>
  </r>
  <r>
    <s v="C1517"/>
    <s v="O1517"/>
    <s v="TI-84 PLUS CE PYTHON"/>
    <x v="0"/>
    <n v="2"/>
    <n v="135"/>
    <n v="0"/>
    <n v="270"/>
    <x v="102"/>
    <s v=" 25/5/2023"/>
    <n v="1"/>
  </r>
  <r>
    <s v="C1518"/>
    <s v="O1518"/>
    <s v="ti-84 plus ce"/>
    <x v="0"/>
    <n v="2"/>
    <n v="130"/>
    <n v="5"/>
    <n v="255"/>
    <x v="103"/>
    <s v=" 28/5/2023"/>
    <n v="2"/>
  </r>
  <r>
    <s v="C1519"/>
    <s v="O1519"/>
    <s v="TI-83 plus"/>
    <x v="0"/>
    <n v="2"/>
    <n v="85"/>
    <n v="0"/>
    <n v="170"/>
    <x v="103"/>
    <s v=" 26/5/2023"/>
    <n v="3"/>
  </r>
  <r>
    <s v="C1520"/>
    <s v="O1520"/>
    <s v="TI-84 PLUS CE PYTHON"/>
    <x v="0"/>
    <n v="1"/>
    <n v="135"/>
    <n v="0"/>
    <n v="135"/>
    <x v="103"/>
    <s v=" 28/5/2023"/>
    <n v="1"/>
  </r>
  <r>
    <s v="C1521"/>
    <s v="O1521"/>
    <s v="ti-84 plus ce"/>
    <x v="0"/>
    <n v="2"/>
    <n v="130"/>
    <n v="5"/>
    <n v="255"/>
    <x v="103"/>
    <s v=" 28/5/2023"/>
    <n v="2"/>
  </r>
  <r>
    <s v="C1522"/>
    <s v="O1522"/>
    <s v="TI-83 plus"/>
    <x v="0"/>
    <n v="2"/>
    <n v="85"/>
    <n v="0"/>
    <n v="170"/>
    <x v="103"/>
    <s v=" 26/5/2023"/>
    <n v="3"/>
  </r>
  <r>
    <s v="C1523"/>
    <s v="O1523"/>
    <s v="TI-84 PLUS CE PYTHON"/>
    <x v="0"/>
    <n v="1"/>
    <n v="135"/>
    <n v="0"/>
    <n v="135"/>
    <x v="103"/>
    <s v=" 28/5/2023"/>
    <n v="4"/>
  </r>
  <r>
    <s v="C1524"/>
    <s v="O1524"/>
    <s v="TI-83 plus"/>
    <x v="0"/>
    <n v="2"/>
    <n v="85"/>
    <n v="0"/>
    <n v="170"/>
    <x v="103"/>
    <s v=" 26/5/2023"/>
    <n v="3"/>
  </r>
  <r>
    <s v="C1525"/>
    <s v="O1525"/>
    <s v="TI-84 PLUS CE PYTHON"/>
    <x v="0"/>
    <n v="1"/>
    <n v="135"/>
    <n v="0"/>
    <n v="135"/>
    <x v="103"/>
    <s v=" 28/5/2023"/>
    <n v="2"/>
  </r>
  <r>
    <s v="C1526"/>
    <s v="O1526"/>
    <s v="ti-nspire cx"/>
    <x v="0"/>
    <n v="1"/>
    <n v="190"/>
    <n v="0"/>
    <n v="190"/>
    <x v="104"/>
    <s v=" 2/6/2023"/>
    <n v="3"/>
  </r>
  <r>
    <s v="C1527"/>
    <s v="O1527"/>
    <s v="ti-nspire cx"/>
    <x v="0"/>
    <n v="1"/>
    <n v="190"/>
    <n v="0"/>
    <n v="190"/>
    <x v="104"/>
    <s v=" 2/6/2023"/>
    <n v="4"/>
  </r>
  <r>
    <s v="C1528"/>
    <s v="O1528"/>
    <s v="ti-nspire cx"/>
    <x v="0"/>
    <n v="1"/>
    <n v="190"/>
    <n v="0"/>
    <n v="190"/>
    <x v="104"/>
    <s v=" 2/6/2023"/>
    <n v="2"/>
  </r>
  <r>
    <s v="C1529"/>
    <s v="O1529"/>
    <s v="TI-83 plus"/>
    <x v="0"/>
    <n v="1"/>
    <n v="85"/>
    <n v="0"/>
    <n v="85"/>
    <x v="105"/>
    <s v=" 4/6/2023"/>
    <n v="4"/>
  </r>
  <r>
    <s v="C1530"/>
    <s v="O1530"/>
    <s v="ti-89 titanium"/>
    <x v="1"/>
    <n v="1"/>
    <n v="220"/>
    <n v="0"/>
    <n v="220"/>
    <x v="105"/>
    <s v=" 5/6/2023"/>
    <n v="2"/>
  </r>
  <r>
    <s v="C1531"/>
    <s v="O1531"/>
    <s v="ti-84 plus ce"/>
    <x v="0"/>
    <n v="2"/>
    <n v="130"/>
    <n v="5"/>
    <n v="255"/>
    <x v="105"/>
    <s v=" 31/5/2023"/>
    <n v="4"/>
  </r>
  <r>
    <s v="C1532"/>
    <s v="O1532"/>
    <s v="TI-83 plus"/>
    <x v="0"/>
    <n v="1"/>
    <n v="85"/>
    <n v="0"/>
    <n v="85"/>
    <x v="105"/>
    <s v=" 4/6/2023"/>
    <n v="4"/>
  </r>
  <r>
    <s v="C1533"/>
    <s v="O1533"/>
    <s v="ti-89 titanium"/>
    <x v="1"/>
    <n v="1"/>
    <n v="220"/>
    <n v="0"/>
    <n v="220"/>
    <x v="105"/>
    <s v=" 5/6/2023"/>
    <n v="4"/>
  </r>
  <r>
    <s v="C1534"/>
    <s v="O1534"/>
    <s v="ti-84 plus ce"/>
    <x v="0"/>
    <n v="2"/>
    <n v="130"/>
    <n v="5"/>
    <n v="255"/>
    <x v="105"/>
    <s v=" 31/5/2023"/>
    <n v="4"/>
  </r>
  <r>
    <s v="C1535"/>
    <s v="O1535"/>
    <s v="ti-84 plus ce"/>
    <x v="0"/>
    <n v="2"/>
    <n v="130"/>
    <n v="5"/>
    <n v="255"/>
    <x v="105"/>
    <s v=" 31/5/2023"/>
    <n v="1"/>
  </r>
  <r>
    <s v="C1536"/>
    <s v="O1536"/>
    <s v="ti-nspire cx"/>
    <x v="0"/>
    <n v="2"/>
    <n v="190"/>
    <n v="0"/>
    <n v="380"/>
    <x v="106"/>
    <s v=" 3/6/2023"/>
    <n v="4"/>
  </r>
  <r>
    <s v="C1537"/>
    <s v="O1537"/>
    <s v="ti-nspire cx"/>
    <x v="0"/>
    <n v="2"/>
    <n v="190"/>
    <n v="0"/>
    <n v="380"/>
    <x v="106"/>
    <s v=" 3/6/2023"/>
    <n v="1"/>
  </r>
  <r>
    <s v="C1538"/>
    <s v="O1538"/>
    <s v="ti-84 plus ce"/>
    <x v="0"/>
    <n v="2"/>
    <n v="130"/>
    <n v="0"/>
    <n v="260"/>
    <x v="107"/>
    <s v=" 5/6/2023"/>
    <n v="4"/>
  </r>
  <r>
    <s v="C1539"/>
    <s v="O1539"/>
    <s v="ti-84 plus ce"/>
    <x v="0"/>
    <n v="1"/>
    <n v="130"/>
    <n v="5"/>
    <n v="125"/>
    <x v="107"/>
    <s v=" 3/6/2023"/>
    <n v="1"/>
  </r>
  <r>
    <s v="C1540"/>
    <s v="O1540"/>
    <s v="ti-84 plus ce"/>
    <x v="0"/>
    <n v="2"/>
    <n v="130"/>
    <n v="0"/>
    <n v="260"/>
    <x v="107"/>
    <s v=" 5/6/2023"/>
    <n v="1"/>
  </r>
  <r>
    <s v="C1541"/>
    <s v="O1541"/>
    <s v="ti-84 plus ce"/>
    <x v="0"/>
    <n v="1"/>
    <n v="130"/>
    <n v="5"/>
    <n v="125"/>
    <x v="107"/>
    <s v=" 3/6/2023"/>
    <n v="1"/>
  </r>
  <r>
    <s v="C1542"/>
    <s v="O1542"/>
    <s v="ti-84 plus ce"/>
    <x v="0"/>
    <n v="1"/>
    <n v="130"/>
    <n v="10"/>
    <n v="120"/>
    <x v="108"/>
    <s v=" 8/6/2023"/>
    <n v="2"/>
  </r>
  <r>
    <s v="C1543"/>
    <s v="O1543"/>
    <s v="ti-84 plus ce"/>
    <x v="0"/>
    <n v="2"/>
    <n v="130"/>
    <n v="5"/>
    <n v="255"/>
    <x v="108"/>
    <s v=" 4/6/2023"/>
    <n v="1"/>
  </r>
  <r>
    <s v="C1544"/>
    <s v="O1544"/>
    <s v="ti-84 plus ce"/>
    <x v="0"/>
    <n v="1"/>
    <n v="130"/>
    <n v="5"/>
    <n v="125"/>
    <x v="108"/>
    <s v=" 7/6/2023"/>
    <n v="3"/>
  </r>
  <r>
    <s v="C1545"/>
    <s v="O1545"/>
    <s v="ti-84 plus ce"/>
    <x v="0"/>
    <n v="1"/>
    <n v="130"/>
    <n v="0"/>
    <n v="130"/>
    <x v="108"/>
    <s v=" 8/6/2023"/>
    <n v="4"/>
  </r>
  <r>
    <s v="C1546"/>
    <s v="O1546"/>
    <s v="ti-84 plus ce"/>
    <x v="0"/>
    <n v="1"/>
    <n v="130"/>
    <n v="10"/>
    <n v="120"/>
    <x v="108"/>
    <s v=" 8/6/2023"/>
    <n v="1"/>
  </r>
  <r>
    <s v="C1547"/>
    <s v="O1547"/>
    <s v="ti-84 plus ce"/>
    <x v="0"/>
    <n v="2"/>
    <n v="130"/>
    <n v="5"/>
    <n v="255"/>
    <x v="108"/>
    <s v=" 4/6/2023"/>
    <n v="3"/>
  </r>
  <r>
    <s v="C1548"/>
    <s v="O1548"/>
    <s v="ti-84 plus ce"/>
    <x v="0"/>
    <n v="1"/>
    <n v="130"/>
    <n v="5"/>
    <n v="125"/>
    <x v="108"/>
    <s v=" 7/6/2023"/>
    <n v="1"/>
  </r>
  <r>
    <s v="C1549"/>
    <s v="O1549"/>
    <s v="ti-84 plus ce"/>
    <x v="0"/>
    <n v="1"/>
    <n v="130"/>
    <n v="0"/>
    <n v="130"/>
    <x v="108"/>
    <s v=" 8/6/2023"/>
    <n v="2"/>
  </r>
  <r>
    <s v="C1550"/>
    <s v="O1550"/>
    <s v="ti-84 plus ce"/>
    <x v="0"/>
    <n v="1"/>
    <n v="130"/>
    <n v="5"/>
    <n v="125"/>
    <x v="108"/>
    <s v=" 7/6/2023"/>
    <n v="3"/>
  </r>
  <r>
    <s v="C1551"/>
    <s v="O1551"/>
    <s v="TI-83 plus"/>
    <x v="0"/>
    <n v="1"/>
    <n v="85"/>
    <n v="0"/>
    <n v="85"/>
    <x v="109"/>
    <s v=" 7/6/2023"/>
    <n v="2"/>
  </r>
  <r>
    <s v="C1552"/>
    <s v="O1552"/>
    <s v="TI-84 PLUS CE PYTHON"/>
    <x v="0"/>
    <n v="1"/>
    <n v="135"/>
    <n v="0"/>
    <n v="135"/>
    <x v="109"/>
    <s v=" 9/6/2023"/>
    <n v="2"/>
  </r>
  <r>
    <s v="C1553"/>
    <s v="O1553"/>
    <s v="TI-83 plus"/>
    <x v="0"/>
    <n v="1"/>
    <n v="85"/>
    <n v="0"/>
    <n v="85"/>
    <x v="109"/>
    <s v=" 7/6/2023"/>
    <n v="4"/>
  </r>
  <r>
    <s v="C1554"/>
    <s v="O1554"/>
    <s v="TI-84 PLUS CE PYTHON"/>
    <x v="0"/>
    <n v="1"/>
    <n v="135"/>
    <n v="0"/>
    <n v="135"/>
    <x v="109"/>
    <s v=" 9/6/2023"/>
    <n v="2"/>
  </r>
  <r>
    <s v="C1555"/>
    <s v="O1555"/>
    <s v="ti-84 plus ce"/>
    <x v="0"/>
    <n v="1"/>
    <n v="130"/>
    <n v="0"/>
    <n v="130"/>
    <x v="110"/>
    <s v=" 10/6/2023"/>
    <n v="4"/>
  </r>
  <r>
    <s v="C1556"/>
    <s v="O1556"/>
    <s v="ti-84 plus ce"/>
    <x v="0"/>
    <n v="1"/>
    <n v="130"/>
    <n v="0"/>
    <n v="130"/>
    <x v="110"/>
    <s v=" 10/6/2023"/>
    <n v="4"/>
  </r>
  <r>
    <s v="C1557"/>
    <s v="O1557"/>
    <s v="ti-89 titanium"/>
    <x v="1"/>
    <n v="1"/>
    <n v="220"/>
    <n v="0"/>
    <n v="220"/>
    <x v="111"/>
    <s v=" 7/6/2023"/>
    <n v="2"/>
  </r>
  <r>
    <s v="C1558"/>
    <s v="O1558"/>
    <s v="ti-89 titanium"/>
    <x v="1"/>
    <n v="1"/>
    <n v="220"/>
    <n v="0"/>
    <n v="220"/>
    <x v="111"/>
    <s v=" 7/6/2023"/>
    <n v="3"/>
  </r>
  <r>
    <s v="C1559"/>
    <s v="O1559"/>
    <s v="TI-84 PLUS CE PYTHON"/>
    <x v="0"/>
    <n v="3"/>
    <n v="135"/>
    <n v="0"/>
    <n v="405"/>
    <x v="112"/>
    <s v=" 12/6/2023"/>
    <n v="2"/>
  </r>
  <r>
    <s v="C1560"/>
    <s v="O1560"/>
    <s v="TI-84 PLUS CE PYTHON"/>
    <x v="0"/>
    <n v="3"/>
    <n v="135"/>
    <n v="0"/>
    <n v="405"/>
    <x v="112"/>
    <s v=" 12/6/2023"/>
    <n v="3"/>
  </r>
  <r>
    <s v="C1561"/>
    <s v="O1561"/>
    <s v="TI-84 PLUS CE PYTHON"/>
    <x v="0"/>
    <n v="1"/>
    <n v="135"/>
    <n v="10"/>
    <n v="125"/>
    <x v="113"/>
    <s v=" 12/6/2023"/>
    <n v="1"/>
  </r>
  <r>
    <s v="C1562"/>
    <s v="O1562"/>
    <s v="ti-nspire cx"/>
    <x v="0"/>
    <n v="1"/>
    <n v="190"/>
    <n v="5"/>
    <n v="185"/>
    <x v="113"/>
    <s v=" 14/6/2023"/>
    <n v="3"/>
  </r>
  <r>
    <s v="C1563"/>
    <s v="O1563"/>
    <s v="TI-84 PLUS CE PYTHON"/>
    <x v="0"/>
    <n v="1"/>
    <n v="135"/>
    <n v="10"/>
    <n v="125"/>
    <x v="113"/>
    <s v=" 12/6/2023"/>
    <n v="4"/>
  </r>
  <r>
    <s v="C1564"/>
    <s v="O1564"/>
    <s v="ti-nspire cx"/>
    <x v="0"/>
    <n v="1"/>
    <n v="190"/>
    <n v="5"/>
    <n v="185"/>
    <x v="113"/>
    <s v=" 14/6/2023"/>
    <n v="4"/>
  </r>
  <r>
    <s v="C1565"/>
    <s v="O1565"/>
    <s v="ti-nspire cx"/>
    <x v="0"/>
    <n v="1"/>
    <n v="190"/>
    <n v="5"/>
    <n v="185"/>
    <x v="113"/>
    <s v=" 14/6/2023"/>
    <n v="1"/>
  </r>
  <r>
    <s v="C1566"/>
    <s v="O1566"/>
    <s v="ti-nspire cx"/>
    <x v="0"/>
    <n v="1"/>
    <n v="190"/>
    <n v="10"/>
    <n v="180"/>
    <x v="114"/>
    <s v=" 12/6/2023"/>
    <n v="3"/>
  </r>
  <r>
    <s v="C1567"/>
    <s v="O1567"/>
    <s v="ti-nspire cx"/>
    <x v="0"/>
    <n v="1"/>
    <n v="190"/>
    <n v="10"/>
    <n v="180"/>
    <x v="114"/>
    <s v=" 12/6/2023"/>
    <n v="2"/>
  </r>
  <r>
    <s v="C1568"/>
    <s v="O1568"/>
    <s v="ti-nspire cx"/>
    <x v="0"/>
    <n v="2"/>
    <n v="190"/>
    <n v="0"/>
    <n v="380"/>
    <x v="115"/>
    <s v=" 17/6/2023"/>
    <n v="2"/>
  </r>
  <r>
    <s v="C1569"/>
    <s v="O1569"/>
    <s v="ti-84 plus ce"/>
    <x v="0"/>
    <n v="1"/>
    <n v="130"/>
    <n v="0"/>
    <n v="130"/>
    <x v="115"/>
    <s v=" 18/6/2023"/>
    <n v="2"/>
  </r>
  <r>
    <s v="C1570"/>
    <s v="O1570"/>
    <s v="ti-nspire cx"/>
    <x v="0"/>
    <n v="2"/>
    <n v="190"/>
    <n v="0"/>
    <n v="380"/>
    <x v="115"/>
    <s v=" 17/6/2023"/>
    <n v="3"/>
  </r>
  <r>
    <s v="C1571"/>
    <s v="O1571"/>
    <s v="ti-84 plus ce"/>
    <x v="0"/>
    <n v="1"/>
    <n v="130"/>
    <n v="0"/>
    <n v="130"/>
    <x v="115"/>
    <s v=" 18/6/2023"/>
    <n v="1"/>
  </r>
  <r>
    <s v="C1572"/>
    <s v="O1572"/>
    <s v="ti-84 plus ce"/>
    <x v="0"/>
    <n v="1"/>
    <n v="130"/>
    <n v="0"/>
    <n v="130"/>
    <x v="116"/>
    <s v=" 18/6/2023"/>
    <n v="3"/>
  </r>
  <r>
    <s v="C1573"/>
    <s v="O1573"/>
    <s v="ti-84 plus ce"/>
    <x v="0"/>
    <n v="1"/>
    <n v="130"/>
    <n v="0"/>
    <n v="130"/>
    <x v="116"/>
    <s v=" 18/6/2023"/>
    <n v="4"/>
  </r>
  <r>
    <s v="C1574"/>
    <s v="O1574"/>
    <s v="ti-nspire cx"/>
    <x v="0"/>
    <n v="4"/>
    <n v="190"/>
    <n v="0"/>
    <n v="760"/>
    <x v="117"/>
    <s v=" 23/6/2023"/>
    <n v="2"/>
  </r>
  <r>
    <s v="C1575"/>
    <s v="O1575"/>
    <s v="ti-84 plus ce"/>
    <x v="0"/>
    <n v="2"/>
    <n v="130"/>
    <n v="5"/>
    <n v="255"/>
    <x v="117"/>
    <s v=" 22/6/2023"/>
    <n v="4"/>
  </r>
  <r>
    <s v="C1576"/>
    <s v="O1576"/>
    <s v="ti-nspire cx"/>
    <x v="0"/>
    <n v="4"/>
    <n v="190"/>
    <n v="0"/>
    <n v="760"/>
    <x v="117"/>
    <s v=" 23/6/2023"/>
    <n v="3"/>
  </r>
  <r>
    <s v="C1577"/>
    <s v="O1577"/>
    <s v="ti-84 plus ce"/>
    <x v="0"/>
    <n v="2"/>
    <n v="130"/>
    <n v="5"/>
    <n v="255"/>
    <x v="117"/>
    <s v=" 22/6/2023"/>
    <n v="4"/>
  </r>
  <r>
    <s v="C1578"/>
    <s v="O1578"/>
    <s v="ti-nspire cx"/>
    <x v="0"/>
    <n v="4"/>
    <n v="190"/>
    <n v="0"/>
    <n v="760"/>
    <x v="117"/>
    <s v=" 23/6/2023"/>
    <n v="2"/>
  </r>
  <r>
    <s v="C1579"/>
    <s v="O1579"/>
    <s v="ti-84 plus ce"/>
    <x v="0"/>
    <n v="2"/>
    <n v="130"/>
    <n v="5"/>
    <n v="255"/>
    <x v="117"/>
    <s v=" 22/6/2023"/>
    <n v="4"/>
  </r>
  <r>
    <s v="C1580"/>
    <s v="O1580"/>
    <s v="ti-nspire cx"/>
    <x v="0"/>
    <n v="1"/>
    <n v="190"/>
    <n v="0"/>
    <n v="190"/>
    <x v="118"/>
    <s v=" 25/6/2023"/>
    <n v="1"/>
  </r>
  <r>
    <s v="C1581"/>
    <s v="O1581"/>
    <s v="TI-84 PLUS CE PYTHON"/>
    <x v="0"/>
    <n v="1"/>
    <n v="135"/>
    <n v="5"/>
    <n v="130"/>
    <x v="118"/>
    <s v=" 21/6/2023"/>
    <n v="2"/>
  </r>
  <r>
    <s v="C1582"/>
    <s v="O1582"/>
    <s v="ti-nspire cx"/>
    <x v="0"/>
    <n v="1"/>
    <n v="190"/>
    <n v="0"/>
    <n v="190"/>
    <x v="118"/>
    <s v=" 25/6/2023"/>
    <n v="3"/>
  </r>
  <r>
    <s v="C1583"/>
    <s v="O1583"/>
    <s v="TI-84 PLUS CE PYTHON"/>
    <x v="0"/>
    <n v="1"/>
    <n v="135"/>
    <n v="5"/>
    <n v="130"/>
    <x v="118"/>
    <s v=" 21/6/2023"/>
    <n v="1"/>
  </r>
  <r>
    <s v="C1584"/>
    <s v="O1584"/>
    <s v="ti-nspire cx"/>
    <x v="0"/>
    <n v="1"/>
    <n v="190"/>
    <n v="0"/>
    <n v="190"/>
    <x v="118"/>
    <s v=" 25/6/2023"/>
    <n v="2"/>
  </r>
  <r>
    <s v="C1585"/>
    <s v="O1585"/>
    <s v="TI-84 PLUS CE PYTHON"/>
    <x v="0"/>
    <n v="2"/>
    <n v="135"/>
    <n v="0"/>
    <n v="270"/>
    <x v="119"/>
    <s v=" 24/6/2023"/>
    <n v="3"/>
  </r>
  <r>
    <s v="C1586"/>
    <s v="O1586"/>
    <s v="TI-84 PLUS CE PYTHON"/>
    <x v="0"/>
    <n v="1"/>
    <n v="135"/>
    <n v="0"/>
    <n v="135"/>
    <x v="119"/>
    <s v=" 25/6/2023"/>
    <n v="1"/>
  </r>
  <r>
    <s v="C1587"/>
    <s v="O1587"/>
    <s v="TI-84 PLUS CE PYTHON"/>
    <x v="0"/>
    <n v="2"/>
    <n v="135"/>
    <n v="0"/>
    <n v="270"/>
    <x v="119"/>
    <s v=" 24/6/2023"/>
    <n v="2"/>
  </r>
  <r>
    <s v="C1588"/>
    <s v="O1588"/>
    <s v="TI-84 PLUS CE PYTHON"/>
    <x v="0"/>
    <n v="1"/>
    <n v="135"/>
    <n v="0"/>
    <n v="135"/>
    <x v="119"/>
    <s v=" 25/6/2023"/>
    <n v="3"/>
  </r>
  <r>
    <s v="C1589"/>
    <s v="O1589"/>
    <s v="ti-84 plus ce"/>
    <x v="0"/>
    <n v="1"/>
    <n v="130"/>
    <n v="0"/>
    <n v="130"/>
    <x v="120"/>
    <s v=" 24/6/2023"/>
    <n v="3"/>
  </r>
  <r>
    <s v="C1590"/>
    <s v="O1590"/>
    <s v="ti-84 plus ce"/>
    <x v="0"/>
    <n v="1"/>
    <n v="130"/>
    <n v="0"/>
    <n v="130"/>
    <x v="120"/>
    <s v=" 25/6/2023"/>
    <n v="1"/>
  </r>
  <r>
    <s v="C1591"/>
    <s v="O1591"/>
    <s v="ti-84 plus ce"/>
    <x v="0"/>
    <n v="1"/>
    <n v="130"/>
    <n v="0"/>
    <n v="130"/>
    <x v="120"/>
    <s v=" 24/6/2023"/>
    <n v="2"/>
  </r>
  <r>
    <s v="C1592"/>
    <s v="O1592"/>
    <s v="ti-84 plus ce"/>
    <x v="0"/>
    <n v="1"/>
    <n v="130"/>
    <n v="0"/>
    <n v="130"/>
    <x v="120"/>
    <s v=" 25/6/2023"/>
    <n v="4"/>
  </r>
  <r>
    <s v="C1593"/>
    <s v="O1593"/>
    <s v="ti-84 plus ce"/>
    <x v="0"/>
    <n v="1"/>
    <n v="130"/>
    <n v="0"/>
    <n v="130"/>
    <x v="120"/>
    <s v=" 25/6/2023"/>
    <n v="4"/>
  </r>
  <r>
    <s v="C1594"/>
    <s v="O1594"/>
    <s v="TI-84 PLUS CE PYTHON"/>
    <x v="0"/>
    <n v="2"/>
    <n v="135"/>
    <n v="0"/>
    <n v="270"/>
    <x v="121"/>
    <s v=" 30/6/2023"/>
    <n v="3"/>
  </r>
  <r>
    <s v="C1595"/>
    <s v="O1595"/>
    <s v="TI-84 PLUS CE PYTHON"/>
    <x v="0"/>
    <n v="2"/>
    <n v="135"/>
    <n v="0"/>
    <n v="270"/>
    <x v="121"/>
    <s v=" 30/6/2023"/>
    <n v="4"/>
  </r>
  <r>
    <s v="C1596"/>
    <s v="O1596"/>
    <s v="TI-84 PLUS CE PYTHON"/>
    <x v="0"/>
    <n v="1"/>
    <n v="135"/>
    <n v="5"/>
    <n v="130"/>
    <x v="122"/>
    <s v=" 28/6/2023"/>
    <n v="3"/>
  </r>
  <r>
    <s v="C1597"/>
    <s v="O1597"/>
    <s v="TI-84 PLUS CE PYTHON"/>
    <x v="0"/>
    <n v="1"/>
    <n v="135"/>
    <n v="5"/>
    <n v="130"/>
    <x v="122"/>
    <s v=" 28/6/2023"/>
    <n v="1"/>
  </r>
  <r>
    <s v="C1598"/>
    <s v="O1598"/>
    <s v="Ti-84 Plus C Se"/>
    <x v="0"/>
    <n v="1"/>
    <n v="160"/>
    <n v="0"/>
    <n v="160"/>
    <x v="123"/>
    <s v=" 29/6/2023"/>
    <n v="4"/>
  </r>
  <r>
    <s v="C1599"/>
    <s v="O1599"/>
    <s v="Ti-84 Plus C Se"/>
    <x v="0"/>
    <n v="1"/>
    <n v="160"/>
    <n v="0"/>
    <n v="160"/>
    <x v="123"/>
    <s v=" 29/6/2023"/>
    <n v="2"/>
  </r>
  <r>
    <s v="C1600"/>
    <s v="O1600"/>
    <s v="TI-84 PLUS CE PYTHON"/>
    <x v="0"/>
    <n v="2"/>
    <n v="135"/>
    <n v="0"/>
    <n v="270"/>
    <x v="124"/>
    <s v=" 29/6/2023"/>
    <n v="1"/>
  </r>
  <r>
    <s v="C1601"/>
    <s v="O1601"/>
    <s v="TI-84 PLUS CE PYTHON"/>
    <x v="0"/>
    <n v="2"/>
    <n v="135"/>
    <n v="0"/>
    <n v="270"/>
    <x v="124"/>
    <s v=" 29/6/2023"/>
    <n v="3"/>
  </r>
  <r>
    <s v="C1602"/>
    <s v="O1602"/>
    <s v="ti-84 plus"/>
    <x v="0"/>
    <n v="2"/>
    <n v="125"/>
    <n v="0"/>
    <n v="250"/>
    <x v="125"/>
    <s v=" 3/7/2023"/>
    <n v="4"/>
  </r>
  <r>
    <s v="C1603"/>
    <s v="O1603"/>
    <s v="ti-nspire cx"/>
    <x v="0"/>
    <n v="2"/>
    <n v="190"/>
    <n v="0"/>
    <n v="380"/>
    <x v="125"/>
    <s v=" 4/7/2023"/>
    <n v="1"/>
  </r>
  <r>
    <s v="C1604"/>
    <s v="O1604"/>
    <s v="ti-84 plus"/>
    <x v="0"/>
    <n v="2"/>
    <n v="125"/>
    <n v="0"/>
    <n v="250"/>
    <x v="125"/>
    <s v=" 3/7/2023"/>
    <n v="2"/>
  </r>
  <r>
    <s v="C1605"/>
    <s v="O1605"/>
    <s v="ti-nspire cx"/>
    <x v="0"/>
    <n v="2"/>
    <n v="190"/>
    <n v="0"/>
    <n v="380"/>
    <x v="125"/>
    <s v=" 4/7/2023"/>
    <n v="4"/>
  </r>
  <r>
    <s v="C1606"/>
    <s v="O1606"/>
    <s v="ti-nspire cx"/>
    <x v="0"/>
    <n v="1"/>
    <n v="190"/>
    <n v="5"/>
    <n v="185"/>
    <x v="126"/>
    <s v=" 3/7/2023"/>
    <n v="2"/>
  </r>
  <r>
    <s v="C1607"/>
    <s v="O1607"/>
    <s v="ti-84 plus ce"/>
    <x v="0"/>
    <n v="3"/>
    <n v="130"/>
    <n v="0"/>
    <n v="390"/>
    <x v="126"/>
    <s v=" 1/7/2023"/>
    <n v="4"/>
  </r>
  <r>
    <s v="C1608"/>
    <s v="O1608"/>
    <s v="ti-nspire cx"/>
    <x v="0"/>
    <n v="1"/>
    <n v="190"/>
    <n v="5"/>
    <n v="185"/>
    <x v="126"/>
    <s v=" 3/7/2023"/>
    <n v="1"/>
  </r>
  <r>
    <s v="C1609"/>
    <s v="O1609"/>
    <s v="ti-84 plus ce"/>
    <x v="0"/>
    <n v="3"/>
    <n v="130"/>
    <n v="0"/>
    <n v="390"/>
    <x v="126"/>
    <s v=" 1/7/2023"/>
    <n v="2"/>
  </r>
  <r>
    <s v="C1610"/>
    <s v="O1610"/>
    <s v="ti-84 plus ce"/>
    <x v="0"/>
    <n v="3"/>
    <n v="130"/>
    <n v="0"/>
    <n v="390"/>
    <x v="126"/>
    <s v=" 1/7/2023"/>
    <n v="1"/>
  </r>
  <r>
    <s v="C1611"/>
    <s v="O1611"/>
    <s v="ti-84 plus ce"/>
    <x v="0"/>
    <n v="1"/>
    <n v="130"/>
    <n v="5"/>
    <n v="125"/>
    <x v="127"/>
    <s v=" 4/7/2023"/>
    <n v="1"/>
  </r>
  <r>
    <s v="C1612"/>
    <s v="O1612"/>
    <s v="ti-84 plus ce"/>
    <x v="0"/>
    <n v="1"/>
    <n v="130"/>
    <n v="5"/>
    <n v="125"/>
    <x v="127"/>
    <s v=" 4/7/2023"/>
    <n v="3"/>
  </r>
  <r>
    <s v="C1613"/>
    <s v="O1613"/>
    <s v="ti-84 plus ce"/>
    <x v="0"/>
    <n v="1"/>
    <n v="130"/>
    <n v="10"/>
    <n v="120"/>
    <x v="128"/>
    <s v=" 2/7/2023"/>
    <n v="1"/>
  </r>
  <r>
    <s v="C1614"/>
    <s v="O1614"/>
    <s v="ti-84 plus ce"/>
    <x v="0"/>
    <n v="1"/>
    <n v="130"/>
    <n v="10"/>
    <n v="120"/>
    <x v="128"/>
    <s v=" 2/7/2023"/>
    <n v="4"/>
  </r>
  <r>
    <s v="C1615"/>
    <s v="O1615"/>
    <s v="ti-84 plus ce"/>
    <x v="0"/>
    <n v="1"/>
    <n v="130"/>
    <n v="10"/>
    <n v="120"/>
    <x v="128"/>
    <s v=" 2/7/2023"/>
    <n v="2"/>
  </r>
  <r>
    <s v="C1616"/>
    <s v="O1616"/>
    <s v="ti-nspire cx"/>
    <x v="0"/>
    <n v="1"/>
    <n v="190"/>
    <n v="10"/>
    <n v="180"/>
    <x v="129"/>
    <s v=" 6/7/2023"/>
    <n v="4"/>
  </r>
  <r>
    <s v="C1617"/>
    <s v="O1617"/>
    <s v="ti-nspire cx"/>
    <x v="0"/>
    <n v="1"/>
    <n v="190"/>
    <n v="10"/>
    <n v="180"/>
    <x v="129"/>
    <s v=" 6/7/2023"/>
    <n v="4"/>
  </r>
  <r>
    <s v="C1618"/>
    <s v="O1618"/>
    <s v="Ti-84 Plus C Se"/>
    <x v="0"/>
    <n v="1"/>
    <n v="160"/>
    <n v="0"/>
    <n v="160"/>
    <x v="130"/>
    <s v=" 12/7/2023"/>
    <n v="4"/>
  </r>
  <r>
    <s v="C1619"/>
    <s v="O1619"/>
    <s v="Ti-84 Plus C Se"/>
    <x v="0"/>
    <n v="1"/>
    <n v="160"/>
    <n v="0"/>
    <n v="160"/>
    <x v="130"/>
    <s v=" 12/7/2023"/>
    <n v="3"/>
  </r>
  <r>
    <s v="C1620"/>
    <s v="O1620"/>
    <s v="TI-84 PLUS CE PYTHON"/>
    <x v="0"/>
    <n v="1"/>
    <n v="135"/>
    <n v="0"/>
    <n v="135"/>
    <x v="131"/>
    <s v=" 11/7/2023"/>
    <n v="1"/>
  </r>
  <r>
    <s v="C1621"/>
    <s v="O1621"/>
    <s v="TI-84 PLUS CE PYTHON"/>
    <x v="0"/>
    <n v="1"/>
    <n v="135"/>
    <n v="0"/>
    <n v="135"/>
    <x v="131"/>
    <s v=" 11/7/2023"/>
    <n v="2"/>
  </r>
  <r>
    <s v="C1622"/>
    <s v="O1622"/>
    <s v="ti-nspire cx"/>
    <x v="0"/>
    <n v="1"/>
    <n v="190"/>
    <n v="0"/>
    <n v="190"/>
    <x v="132"/>
    <s v=" 14/7/2023"/>
    <n v="3"/>
  </r>
  <r>
    <s v="C1623"/>
    <s v="O1623"/>
    <s v="Ti-nspire CX II"/>
    <x v="0"/>
    <n v="1"/>
    <n v="210"/>
    <n v="0"/>
    <n v="210"/>
    <x v="132"/>
    <s v=" 17/7/2023"/>
    <n v="1"/>
  </r>
  <r>
    <s v="C1624"/>
    <s v="O1624"/>
    <s v="ti-nspire cx"/>
    <x v="0"/>
    <n v="1"/>
    <n v="190"/>
    <n v="0"/>
    <n v="190"/>
    <x v="132"/>
    <s v=" 14/7/2023"/>
    <n v="3"/>
  </r>
  <r>
    <s v="C1625"/>
    <s v="O1625"/>
    <s v="Ti-nspire CX II"/>
    <x v="0"/>
    <n v="1"/>
    <n v="210"/>
    <n v="0"/>
    <n v="210"/>
    <x v="132"/>
    <s v=" 17/7/2023"/>
    <n v="4"/>
  </r>
  <r>
    <s v="C1626"/>
    <s v="O1626"/>
    <s v="ti-nspire cx"/>
    <x v="0"/>
    <n v="1"/>
    <n v="190"/>
    <n v="0"/>
    <n v="190"/>
    <x v="132"/>
    <s v=" 14/7/2023"/>
    <n v="4"/>
  </r>
  <r>
    <s v="C1627"/>
    <s v="O1627"/>
    <s v="Ti-nspire CX II"/>
    <x v="0"/>
    <n v="1"/>
    <n v="210"/>
    <n v="0"/>
    <n v="210"/>
    <x v="132"/>
    <s v=" 17/7/2023"/>
    <n v="3"/>
  </r>
  <r>
    <s v="C1628"/>
    <s v="O1628"/>
    <s v="ti-84 plus ce"/>
    <x v="0"/>
    <n v="2"/>
    <n v="130"/>
    <n v="0"/>
    <n v="260"/>
    <x v="133"/>
    <s v=" 14/7/2023"/>
    <n v="4"/>
  </r>
  <r>
    <s v="C1629"/>
    <s v="O1629"/>
    <s v="ti-84 plus ce"/>
    <x v="0"/>
    <n v="1"/>
    <n v="130"/>
    <n v="0"/>
    <n v="130"/>
    <x v="133"/>
    <s v=" 14/7/2023"/>
    <n v="3"/>
  </r>
  <r>
    <s v="C1630"/>
    <s v="O1630"/>
    <s v="TI-NSPIRE CX CAS"/>
    <x v="1"/>
    <n v="1"/>
    <n v="200"/>
    <n v="0"/>
    <n v="200"/>
    <x v="133"/>
    <s v=" 15/7/2023"/>
    <n v="4"/>
  </r>
  <r>
    <s v="C1631"/>
    <s v="O1631"/>
    <s v="ti-84 plus ce"/>
    <x v="0"/>
    <n v="2"/>
    <n v="130"/>
    <n v="0"/>
    <n v="260"/>
    <x v="133"/>
    <s v=" 14/7/2023"/>
    <n v="3"/>
  </r>
  <r>
    <s v="C1632"/>
    <s v="O1632"/>
    <s v="ti-84 plus ce"/>
    <x v="0"/>
    <n v="1"/>
    <n v="130"/>
    <n v="0"/>
    <n v="130"/>
    <x v="133"/>
    <s v=" 14/7/2023"/>
    <n v="3"/>
  </r>
  <r>
    <s v="C1633"/>
    <s v="O1633"/>
    <s v="TI-NSPIRE CX CAS"/>
    <x v="1"/>
    <n v="1"/>
    <n v="200"/>
    <n v="0"/>
    <n v="200"/>
    <x v="133"/>
    <s v=" 15/7/2023"/>
    <n v="1"/>
  </r>
  <r>
    <s v="C1634"/>
    <s v="O1634"/>
    <s v="ti-84 plus ce"/>
    <x v="0"/>
    <n v="2"/>
    <n v="130"/>
    <n v="10"/>
    <n v="250"/>
    <x v="134"/>
    <s v=" 19/7/2023"/>
    <n v="3"/>
  </r>
  <r>
    <s v="C1635"/>
    <s v="O1635"/>
    <s v="ti-84 plus ce"/>
    <x v="0"/>
    <n v="2"/>
    <n v="130"/>
    <n v="10"/>
    <n v="250"/>
    <x v="134"/>
    <s v=" 19/7/2023"/>
    <n v="3"/>
  </r>
  <r>
    <s v="C1636"/>
    <s v="O1636"/>
    <s v="TI-84 PLUS CE PYTHON"/>
    <x v="0"/>
    <n v="1"/>
    <n v="135"/>
    <n v="0"/>
    <n v="135"/>
    <x v="135"/>
    <s v=" 20/7/2023"/>
    <n v="2"/>
  </r>
  <r>
    <s v="C1637"/>
    <s v="O1637"/>
    <s v="TI-NSPIRE CX CAS"/>
    <x v="1"/>
    <n v="2"/>
    <n v="200"/>
    <n v="10"/>
    <n v="390"/>
    <x v="135"/>
    <s v=" 21/7/2023"/>
    <n v="3"/>
  </r>
  <r>
    <s v="C1638"/>
    <s v="O1638"/>
    <s v="TI-84 PLUS CE PYTHON"/>
    <x v="0"/>
    <n v="1"/>
    <n v="135"/>
    <n v="0"/>
    <n v="135"/>
    <x v="135"/>
    <s v=" 20/7/2023"/>
    <n v="2"/>
  </r>
  <r>
    <s v="C1639"/>
    <s v="O1639"/>
    <s v="TI-NSPIRE CX CAS"/>
    <x v="1"/>
    <n v="2"/>
    <n v="200"/>
    <n v="10"/>
    <n v="390"/>
    <x v="135"/>
    <s v=" 21/7/2023"/>
    <n v="2"/>
  </r>
  <r>
    <s v="C1640"/>
    <s v="O1640"/>
    <s v="TI-84 PLUS CE PYTHON"/>
    <x v="0"/>
    <n v="1"/>
    <n v="135"/>
    <n v="0"/>
    <n v="135"/>
    <x v="136"/>
    <s v=" 20/7/2023"/>
    <n v="3"/>
  </r>
  <r>
    <s v="C1641"/>
    <s v="O1641"/>
    <s v="ti-nspire cx"/>
    <x v="0"/>
    <n v="1"/>
    <n v="190"/>
    <n v="0"/>
    <n v="190"/>
    <x v="136"/>
    <s v=" 19/7/2023"/>
    <n v="4"/>
  </r>
  <r>
    <s v="C1642"/>
    <s v="O1642"/>
    <s v="TI-84 PLUS CE PYTHON"/>
    <x v="0"/>
    <n v="1"/>
    <n v="135"/>
    <n v="0"/>
    <n v="135"/>
    <x v="136"/>
    <s v=" 20/7/2023"/>
    <n v="4"/>
  </r>
  <r>
    <s v="C1643"/>
    <s v="O1643"/>
    <s v="ti-nspire cx"/>
    <x v="0"/>
    <n v="1"/>
    <n v="190"/>
    <n v="0"/>
    <n v="190"/>
    <x v="136"/>
    <s v=" 19/7/2023"/>
    <n v="2"/>
  </r>
  <r>
    <s v="C1644"/>
    <s v="O1644"/>
    <s v="TI-84 PLUS CE PYTHON"/>
    <x v="0"/>
    <n v="1"/>
    <n v="135"/>
    <n v="0"/>
    <n v="135"/>
    <x v="136"/>
    <s v=" 20/7/2023"/>
    <n v="2"/>
  </r>
  <r>
    <s v="C1645"/>
    <s v="O1645"/>
    <s v="ti-nspire cx"/>
    <x v="0"/>
    <n v="1"/>
    <n v="190"/>
    <n v="0"/>
    <n v="190"/>
    <x v="136"/>
    <s v=" 19/7/2023"/>
    <n v="3"/>
  </r>
  <r>
    <s v="C1646"/>
    <s v="O1646"/>
    <s v="TI-84 PLUS CE PYTHON"/>
    <x v="0"/>
    <n v="1"/>
    <n v="135"/>
    <n v="0"/>
    <n v="135"/>
    <x v="137"/>
    <s v=" 18/7/2023"/>
    <n v="4"/>
  </r>
  <r>
    <s v="C1647"/>
    <s v="O1647"/>
    <s v="TI-84 PLUS CE PYTHON"/>
    <x v="0"/>
    <n v="1"/>
    <n v="135"/>
    <n v="0"/>
    <n v="135"/>
    <x v="137"/>
    <s v=" 18/7/2023"/>
    <n v="2"/>
  </r>
  <r>
    <s v="C1648"/>
    <s v="O1648"/>
    <s v="ti-84 plus ce"/>
    <x v="0"/>
    <n v="1"/>
    <n v="130"/>
    <n v="5"/>
    <n v="125"/>
    <x v="138"/>
    <s v=" 22/7/2023"/>
    <n v="2"/>
  </r>
  <r>
    <s v="C1649"/>
    <s v="O1649"/>
    <s v="ti-84 plus ce"/>
    <x v="0"/>
    <n v="1"/>
    <n v="130"/>
    <n v="10"/>
    <n v="120"/>
    <x v="138"/>
    <s v=" 19/7/2023"/>
    <n v="2"/>
  </r>
  <r>
    <s v="C1650"/>
    <s v="O1650"/>
    <s v="ti-84 plus ce"/>
    <x v="0"/>
    <n v="1"/>
    <n v="130"/>
    <n v="5"/>
    <n v="125"/>
    <x v="138"/>
    <s v=" 22/7/2023"/>
    <n v="2"/>
  </r>
  <r>
    <s v="C1651"/>
    <s v="O1651"/>
    <s v="ti-84 plus ce"/>
    <x v="0"/>
    <n v="1"/>
    <n v="130"/>
    <n v="10"/>
    <n v="120"/>
    <x v="138"/>
    <s v=" 19/7/2023"/>
    <n v="4"/>
  </r>
  <r>
    <s v="C1652"/>
    <s v="O1652"/>
    <s v="TI-84 PLUS CE PYTHON"/>
    <x v="0"/>
    <n v="2"/>
    <n v="135"/>
    <n v="5"/>
    <n v="265"/>
    <x v="139"/>
    <s v=" 22/7/2023"/>
    <n v="1"/>
  </r>
  <r>
    <s v="C1653"/>
    <s v="O1653"/>
    <s v="ti-84 plus ce"/>
    <x v="0"/>
    <n v="1"/>
    <n v="130"/>
    <n v="0"/>
    <n v="130"/>
    <x v="139"/>
    <s v=" 22/7/2023"/>
    <n v="1"/>
  </r>
  <r>
    <s v="C1654"/>
    <s v="O1654"/>
    <s v="TI-84 PLUS CE PYTHON"/>
    <x v="0"/>
    <n v="2"/>
    <n v="135"/>
    <n v="5"/>
    <n v="265"/>
    <x v="139"/>
    <s v=" 22/7/2023"/>
    <n v="4"/>
  </r>
  <r>
    <s v="C1655"/>
    <s v="O1655"/>
    <s v="ti-84 plus ce"/>
    <x v="0"/>
    <n v="1"/>
    <n v="130"/>
    <n v="0"/>
    <n v="130"/>
    <x v="139"/>
    <s v=" 22/7/2023"/>
    <n v="3"/>
  </r>
  <r>
    <s v="C1656"/>
    <s v="O1656"/>
    <s v="TI-84 PLUS CE PYTHON"/>
    <x v="0"/>
    <n v="2"/>
    <n v="135"/>
    <n v="5"/>
    <n v="265"/>
    <x v="139"/>
    <s v=" 22/7/2023"/>
    <n v="4"/>
  </r>
  <r>
    <s v="C1657"/>
    <s v="O1657"/>
    <s v="Ti-84 Plus C Se"/>
    <x v="0"/>
    <n v="3"/>
    <n v="160"/>
    <n v="0"/>
    <n v="480"/>
    <x v="140"/>
    <s v=" 22/7/2023"/>
    <n v="1"/>
  </r>
  <r>
    <s v="C1658"/>
    <s v="O1658"/>
    <s v="Ti-84 Plus C Se"/>
    <x v="0"/>
    <n v="1"/>
    <n v="160"/>
    <n v="5"/>
    <n v="155"/>
    <x v="140"/>
    <s v=" 22/7/2023"/>
    <n v="4"/>
  </r>
  <r>
    <s v="C1659"/>
    <s v="O1659"/>
    <s v="Ti-84 Plus C Se"/>
    <x v="0"/>
    <n v="3"/>
    <n v="160"/>
    <n v="0"/>
    <n v="480"/>
    <x v="140"/>
    <s v=" 22/7/2023"/>
    <n v="4"/>
  </r>
  <r>
    <s v="C1660"/>
    <s v="O1660"/>
    <s v="Ti-84 Plus C Se"/>
    <x v="0"/>
    <n v="1"/>
    <n v="160"/>
    <n v="5"/>
    <n v="155"/>
    <x v="140"/>
    <s v=" 22/7/2023"/>
    <n v="1"/>
  </r>
  <r>
    <s v="C1661"/>
    <s v="O1661"/>
    <s v="Ti-84 Plus C Se"/>
    <x v="0"/>
    <n v="1"/>
    <n v="160"/>
    <n v="5"/>
    <n v="155"/>
    <x v="140"/>
    <s v=" 22/7/2023"/>
    <n v="4"/>
  </r>
  <r>
    <s v="C1662"/>
    <s v="O1662"/>
    <s v="TI-84 PLUS CE PYTHON"/>
    <x v="0"/>
    <n v="1"/>
    <n v="135"/>
    <n v="10"/>
    <n v="125"/>
    <x v="141"/>
    <s v=" 23/7/2023"/>
    <n v="1"/>
  </r>
  <r>
    <s v="C1663"/>
    <s v="O1663"/>
    <s v="ti-84 plus ce"/>
    <x v="0"/>
    <n v="1"/>
    <n v="130"/>
    <n v="10"/>
    <n v="120"/>
    <x v="141"/>
    <s v=" 24/7/2023"/>
    <n v="3"/>
  </r>
  <r>
    <s v="C1664"/>
    <s v="O1664"/>
    <s v="ti-84 plus ce"/>
    <x v="0"/>
    <n v="1"/>
    <n v="130"/>
    <n v="10"/>
    <n v="120"/>
    <x v="141"/>
    <s v=" 23/7/2023"/>
    <n v="4"/>
  </r>
  <r>
    <s v="C1665"/>
    <s v="O1665"/>
    <s v="TI-84 PLUS CE PYTHON"/>
    <x v="0"/>
    <n v="1"/>
    <n v="135"/>
    <n v="10"/>
    <n v="125"/>
    <x v="141"/>
    <s v=" 23/7/2023"/>
    <n v="4"/>
  </r>
  <r>
    <s v="C1666"/>
    <s v="O1666"/>
    <s v="ti-84 plus ce"/>
    <x v="0"/>
    <n v="1"/>
    <n v="130"/>
    <n v="10"/>
    <n v="120"/>
    <x v="141"/>
    <s v=" 24/7/2023"/>
    <n v="3"/>
  </r>
  <r>
    <s v="C1667"/>
    <s v="O1667"/>
    <s v="ti-84 plus ce"/>
    <x v="0"/>
    <n v="1"/>
    <n v="130"/>
    <n v="10"/>
    <n v="120"/>
    <x v="141"/>
    <s v=" 23/7/2023"/>
    <n v="1"/>
  </r>
  <r>
    <s v="C1668"/>
    <s v="O1668"/>
    <s v="ti-84 plus"/>
    <x v="0"/>
    <n v="1"/>
    <n v="125"/>
    <n v="0"/>
    <n v="125"/>
    <x v="142"/>
    <s v=" 23/7/2023"/>
    <n v="4"/>
  </r>
  <r>
    <s v="C1669"/>
    <s v="O1669"/>
    <s v="ti-84 plus"/>
    <x v="0"/>
    <n v="1"/>
    <n v="125"/>
    <n v="0"/>
    <n v="125"/>
    <x v="142"/>
    <s v=" 23/7/2023"/>
    <n v="2"/>
  </r>
  <r>
    <s v="C1670"/>
    <s v="O1670"/>
    <s v="ti-84 plus"/>
    <x v="0"/>
    <n v="1"/>
    <n v="125"/>
    <n v="0"/>
    <n v="125"/>
    <x v="142"/>
    <s v=" 23/7/2023"/>
    <n v="4"/>
  </r>
  <r>
    <s v="C1671"/>
    <s v="O1671"/>
    <s v="TI-84 PLUS CE PYTHON"/>
    <x v="0"/>
    <n v="1"/>
    <n v="135"/>
    <n v="0"/>
    <n v="135"/>
    <x v="143"/>
    <s v=" 24/7/2023"/>
    <n v="4"/>
  </r>
  <r>
    <s v="C1672"/>
    <s v="O1672"/>
    <s v="TI-84 PLUS CE PYTHON"/>
    <x v="0"/>
    <n v="1"/>
    <n v="135"/>
    <n v="0"/>
    <n v="135"/>
    <x v="143"/>
    <s v=" 24/7/2023"/>
    <n v="2"/>
  </r>
  <r>
    <s v="C1673"/>
    <s v="O1673"/>
    <s v="TI-84 PLUS CE PYTHON"/>
    <x v="0"/>
    <n v="1"/>
    <n v="135"/>
    <n v="0"/>
    <n v="135"/>
    <x v="143"/>
    <s v=" 24/7/2023"/>
    <n v="1"/>
  </r>
  <r>
    <s v="C1674"/>
    <s v="O1674"/>
    <s v="ti-84 plus ce"/>
    <x v="0"/>
    <n v="1"/>
    <n v="130"/>
    <n v="0"/>
    <n v="130"/>
    <x v="144"/>
    <s v=" 27/7/2023"/>
    <n v="2"/>
  </r>
  <r>
    <s v="C1675"/>
    <s v="O1675"/>
    <s v="ti-84 plus ce"/>
    <x v="0"/>
    <n v="1"/>
    <n v="130"/>
    <n v="0"/>
    <n v="130"/>
    <x v="144"/>
    <s v=" 25/7/2023"/>
    <n v="2"/>
  </r>
  <r>
    <s v="C1676"/>
    <s v="O1676"/>
    <s v="ti-84 plus ce"/>
    <x v="0"/>
    <n v="1"/>
    <n v="130"/>
    <n v="0"/>
    <n v="130"/>
    <x v="144"/>
    <s v=" 27/7/2023"/>
    <n v="2"/>
  </r>
  <r>
    <s v="C1677"/>
    <s v="O1677"/>
    <s v="ti-84 plus ce"/>
    <x v="0"/>
    <n v="1"/>
    <n v="130"/>
    <n v="0"/>
    <n v="130"/>
    <x v="144"/>
    <s v=" 25/7/2023"/>
    <n v="3"/>
  </r>
  <r>
    <s v="C1678"/>
    <s v="O1678"/>
    <s v="ti-84 plus ce"/>
    <x v="0"/>
    <n v="1"/>
    <n v="130"/>
    <n v="0"/>
    <n v="130"/>
    <x v="144"/>
    <s v=" 25/7/2023"/>
    <n v="1"/>
  </r>
  <r>
    <s v="C1679"/>
    <s v="O1679"/>
    <s v="TI-84 PLUS CE PYTHON"/>
    <x v="0"/>
    <n v="1"/>
    <n v="135"/>
    <n v="5"/>
    <n v="130"/>
    <x v="145"/>
    <s v=" 31/7/2023"/>
    <n v="4"/>
  </r>
  <r>
    <s v="C1680"/>
    <s v="O1680"/>
    <s v="TI-84 PLUS CE PYTHON"/>
    <x v="0"/>
    <n v="1"/>
    <n v="135"/>
    <n v="5"/>
    <n v="130"/>
    <x v="145"/>
    <s v=" 31/7/2023"/>
    <n v="2"/>
  </r>
  <r>
    <s v="C1681"/>
    <s v="O1681"/>
    <s v="ti-nspire cx"/>
    <x v="0"/>
    <n v="1"/>
    <n v="190"/>
    <n v="10"/>
    <n v="180"/>
    <x v="146"/>
    <s v=" 29/7/2023"/>
    <n v="3"/>
  </r>
  <r>
    <s v="C1682"/>
    <s v="O1682"/>
    <s v="ti-nspire cx"/>
    <x v="0"/>
    <n v="1"/>
    <n v="190"/>
    <n v="10"/>
    <n v="180"/>
    <x v="146"/>
    <s v=" 29/7/2023"/>
    <n v="2"/>
  </r>
  <r>
    <s v="C1683"/>
    <s v="O1683"/>
    <s v="ti-84 plus ce"/>
    <x v="0"/>
    <n v="1"/>
    <n v="130"/>
    <n v="0"/>
    <n v="130"/>
    <x v="147"/>
    <s v=" 30/7/2023"/>
    <n v="3"/>
  </r>
  <r>
    <s v="C1684"/>
    <s v="O1684"/>
    <s v="ti-84 plus ce"/>
    <x v="0"/>
    <n v="1"/>
    <n v="130"/>
    <n v="0"/>
    <n v="130"/>
    <x v="147"/>
    <s v=" 30/7/2023"/>
    <n v="3"/>
  </r>
  <r>
    <s v="C1685"/>
    <s v="O1685"/>
    <s v="TI-84 PLUS CE PYTHON"/>
    <x v="0"/>
    <n v="1"/>
    <n v="135"/>
    <n v="0"/>
    <n v="135"/>
    <x v="148"/>
    <s v=" 31/7/2023"/>
    <n v="2"/>
  </r>
  <r>
    <s v="C1686"/>
    <s v="O1686"/>
    <s v="ti-84 plus ce"/>
    <x v="0"/>
    <n v="1"/>
    <n v="130"/>
    <n v="0"/>
    <n v="130"/>
    <x v="148"/>
    <s v=" 31/7/2023"/>
    <n v="1"/>
  </r>
  <r>
    <s v="C1687"/>
    <s v="O1687"/>
    <s v="ti-84 plus ce"/>
    <x v="0"/>
    <n v="1"/>
    <n v="130"/>
    <n v="0"/>
    <n v="130"/>
    <x v="148"/>
    <s v=" 2/8/2023"/>
    <n v="4"/>
  </r>
  <r>
    <s v="C1688"/>
    <s v="O1688"/>
    <s v="TI-84 PLUS CE PYTHON"/>
    <x v="0"/>
    <n v="1"/>
    <n v="135"/>
    <n v="0"/>
    <n v="135"/>
    <x v="148"/>
    <s v=" 31/7/2023"/>
    <n v="3"/>
  </r>
  <r>
    <s v="C1689"/>
    <s v="O1689"/>
    <s v="ti-84 plus ce"/>
    <x v="0"/>
    <n v="1"/>
    <n v="130"/>
    <n v="0"/>
    <n v="130"/>
    <x v="148"/>
    <s v=" 31/7/2023"/>
    <n v="2"/>
  </r>
  <r>
    <s v="C1690"/>
    <s v="O1690"/>
    <s v="ti-84 plus ce"/>
    <x v="0"/>
    <n v="1"/>
    <n v="130"/>
    <n v="0"/>
    <n v="130"/>
    <x v="148"/>
    <s v=" 2/8/2023"/>
    <n v="1"/>
  </r>
  <r>
    <s v="C1691"/>
    <s v="O1691"/>
    <s v="TI-84 PLUS CE PYTHON"/>
    <x v="0"/>
    <n v="1"/>
    <n v="135"/>
    <n v="0"/>
    <n v="135"/>
    <x v="148"/>
    <s v=" 31/7/2023"/>
    <n v="1"/>
  </r>
  <r>
    <s v="C1692"/>
    <s v="O1692"/>
    <s v="ti-84 plus ce"/>
    <x v="0"/>
    <n v="1"/>
    <n v="130"/>
    <n v="0"/>
    <n v="130"/>
    <x v="148"/>
    <s v=" 31/7/2023"/>
    <n v="1"/>
  </r>
  <r>
    <s v="C1693"/>
    <s v="O1693"/>
    <s v="ti-84 plus ce"/>
    <x v="0"/>
    <n v="1"/>
    <n v="130"/>
    <n v="0"/>
    <n v="130"/>
    <x v="148"/>
    <s v=" 2/8/2023"/>
    <n v="4"/>
  </r>
  <r>
    <s v="C1694"/>
    <s v="O1694"/>
    <s v="ti-84 plus ce"/>
    <x v="0"/>
    <n v="2"/>
    <n v="130"/>
    <n v="0"/>
    <n v="260"/>
    <x v="149"/>
    <s v=" 1/8/2023"/>
    <n v="2"/>
  </r>
  <r>
    <s v="C1695"/>
    <s v="O1695"/>
    <s v="ti-84 plus ce"/>
    <x v="0"/>
    <n v="2"/>
    <n v="130"/>
    <n v="0"/>
    <n v="260"/>
    <x v="149"/>
    <s v=" 1/8/2023"/>
    <n v="1"/>
  </r>
  <r>
    <s v="C1696"/>
    <s v="O1696"/>
    <s v="ti-nspire cx"/>
    <x v="0"/>
    <n v="3"/>
    <n v="190"/>
    <n v="0"/>
    <n v="570"/>
    <x v="150"/>
    <s v=" 3/8/2023"/>
    <n v="1"/>
  </r>
  <r>
    <s v="C1697"/>
    <s v="O1697"/>
    <s v="ti-nspire cx"/>
    <x v="0"/>
    <n v="3"/>
    <n v="190"/>
    <n v="0"/>
    <n v="570"/>
    <x v="150"/>
    <s v=" 3/8/2023"/>
    <n v="2"/>
  </r>
  <r>
    <s v="C1698"/>
    <s v="O1698"/>
    <s v="ti-84 plus ce"/>
    <x v="0"/>
    <n v="1"/>
    <n v="130"/>
    <n v="5"/>
    <n v="125"/>
    <x v="151"/>
    <s v=" 2/8/2023"/>
    <n v="1"/>
  </r>
  <r>
    <s v="C1699"/>
    <s v="O1699"/>
    <s v="ti-nspire cx"/>
    <x v="0"/>
    <n v="2"/>
    <n v="190"/>
    <n v="0"/>
    <n v="380"/>
    <x v="151"/>
    <s v=" 1/8/2023"/>
    <n v="4"/>
  </r>
  <r>
    <s v="C1700"/>
    <s v="O1700"/>
    <s v="TI-84 PLUS CE PYTHON"/>
    <x v="0"/>
    <n v="4"/>
    <n v="135"/>
    <n v="10"/>
    <n v="530"/>
    <x v="151"/>
    <s v=" 3/8/2023"/>
    <n v="3"/>
  </r>
  <r>
    <s v="C1701"/>
    <s v="O1701"/>
    <s v="ti-84 plus"/>
    <x v="0"/>
    <n v="1"/>
    <n v="125"/>
    <n v="5"/>
    <n v="120"/>
    <x v="151"/>
    <s v=" 6/8/2023"/>
    <n v="3"/>
  </r>
  <r>
    <s v="C1702"/>
    <s v="O1702"/>
    <s v="ti-84 plus ce"/>
    <x v="0"/>
    <n v="1"/>
    <n v="130"/>
    <n v="5"/>
    <n v="125"/>
    <x v="151"/>
    <s v=" 2/8/2023"/>
    <n v="1"/>
  </r>
  <r>
    <s v="C1703"/>
    <s v="O1703"/>
    <s v="ti-nspire cx"/>
    <x v="0"/>
    <n v="2"/>
    <n v="190"/>
    <n v="0"/>
    <n v="380"/>
    <x v="151"/>
    <s v=" 1/8/2023"/>
    <n v="1"/>
  </r>
  <r>
    <s v="C1704"/>
    <s v="O1704"/>
    <s v="TI-84 PLUS CE PYTHON"/>
    <x v="0"/>
    <n v="4"/>
    <n v="135"/>
    <n v="10"/>
    <n v="530"/>
    <x v="151"/>
    <s v=" 3/8/2023"/>
    <n v="4"/>
  </r>
  <r>
    <s v="C1705"/>
    <s v="O1705"/>
    <s v="ti-84 plus"/>
    <x v="0"/>
    <n v="1"/>
    <n v="125"/>
    <n v="5"/>
    <n v="120"/>
    <x v="151"/>
    <s v=" 6/8/2023"/>
    <n v="2"/>
  </r>
  <r>
    <s v="C1706"/>
    <s v="O1706"/>
    <s v="TI-84 PLUS CE PYTHON"/>
    <x v="0"/>
    <n v="4"/>
    <n v="135"/>
    <n v="10"/>
    <n v="530"/>
    <x v="151"/>
    <s v=" 3/8/2023"/>
    <n v="1"/>
  </r>
  <r>
    <s v="C1707"/>
    <s v="O1707"/>
    <s v="ti-84 plus"/>
    <x v="0"/>
    <n v="1"/>
    <n v="125"/>
    <n v="5"/>
    <n v="120"/>
    <x v="151"/>
    <s v=" 6/8/2023"/>
    <n v="1"/>
  </r>
  <r>
    <s v="C1708"/>
    <s v="O1708"/>
    <s v="ti-84 plus ce"/>
    <x v="0"/>
    <n v="1"/>
    <n v="130"/>
    <n v="0"/>
    <n v="130"/>
    <x v="152"/>
    <s v=" 3/8/2023"/>
    <n v="3"/>
  </r>
  <r>
    <s v="C1709"/>
    <s v="O1709"/>
    <s v="ti-84 plus ce"/>
    <x v="0"/>
    <n v="1"/>
    <n v="130"/>
    <n v="0"/>
    <n v="130"/>
    <x v="152"/>
    <s v=" 3/8/2023"/>
    <n v="1"/>
  </r>
  <r>
    <s v="C1710"/>
    <s v="O1710"/>
    <s v="TI-84 PLUS CE PYTHON"/>
    <x v="0"/>
    <n v="1"/>
    <n v="135"/>
    <n v="0"/>
    <n v="135"/>
    <x v="153"/>
    <s v=" 5/8/2023"/>
    <n v="3"/>
  </r>
  <r>
    <s v="C1711"/>
    <s v="O1711"/>
    <s v="ti-nspire cx"/>
    <x v="0"/>
    <n v="1"/>
    <n v="190"/>
    <n v="0"/>
    <n v="190"/>
    <x v="153"/>
    <s v=" 7/8/2023"/>
    <n v="2"/>
  </r>
  <r>
    <s v="C1712"/>
    <s v="O1712"/>
    <s v="ti-84 plus ce"/>
    <x v="0"/>
    <n v="1"/>
    <n v="130"/>
    <n v="0"/>
    <n v="130"/>
    <x v="153"/>
    <s v=" 5/8/2023"/>
    <n v="1"/>
  </r>
  <r>
    <s v="C1713"/>
    <s v="O1713"/>
    <s v="ti-84 plus ce"/>
    <x v="0"/>
    <n v="1"/>
    <n v="130"/>
    <n v="0"/>
    <n v="130"/>
    <x v="153"/>
    <s v=" 3/8/2023"/>
    <n v="1"/>
  </r>
  <r>
    <s v="C1714"/>
    <s v="O1714"/>
    <s v="ti-84 plus ce"/>
    <x v="0"/>
    <n v="1"/>
    <n v="130"/>
    <n v="0"/>
    <n v="130"/>
    <x v="153"/>
    <s v=" 3/8/2023"/>
    <n v="1"/>
  </r>
  <r>
    <s v="C1715"/>
    <s v="O1715"/>
    <s v="TI-84 PLUS CE PYTHON"/>
    <x v="0"/>
    <n v="1"/>
    <n v="135"/>
    <n v="0"/>
    <n v="135"/>
    <x v="153"/>
    <s v=" 5/8/2023"/>
    <n v="3"/>
  </r>
  <r>
    <s v="C1716"/>
    <s v="O1716"/>
    <s v="ti-nspire cx"/>
    <x v="0"/>
    <n v="1"/>
    <n v="190"/>
    <n v="0"/>
    <n v="190"/>
    <x v="153"/>
    <s v=" 7/8/2023"/>
    <n v="1"/>
  </r>
  <r>
    <s v="C1717"/>
    <s v="O1717"/>
    <s v="ti-84 plus ce"/>
    <x v="0"/>
    <n v="1"/>
    <n v="130"/>
    <n v="0"/>
    <n v="130"/>
    <x v="153"/>
    <s v=" 5/8/2023"/>
    <n v="3"/>
  </r>
  <r>
    <s v="C1718"/>
    <s v="O1718"/>
    <s v="ti-84 plus ce"/>
    <x v="0"/>
    <n v="1"/>
    <n v="130"/>
    <n v="0"/>
    <n v="130"/>
    <x v="153"/>
    <s v=" 3/8/2023"/>
    <n v="2"/>
  </r>
  <r>
    <s v="C1719"/>
    <s v="O1719"/>
    <s v="ti-84 plus ce"/>
    <x v="0"/>
    <n v="1"/>
    <n v="130"/>
    <n v="0"/>
    <n v="130"/>
    <x v="153"/>
    <s v=" 3/8/2023"/>
    <n v="1"/>
  </r>
  <r>
    <s v="C1720"/>
    <s v="O1720"/>
    <s v="ti-84 plus ce"/>
    <x v="0"/>
    <n v="1"/>
    <n v="130"/>
    <n v="0"/>
    <n v="130"/>
    <x v="153"/>
    <s v=" 3/8/2023"/>
    <n v="2"/>
  </r>
  <r>
    <s v="C1721"/>
    <s v="O1721"/>
    <s v="ti-84 plus ce"/>
    <x v="0"/>
    <n v="1"/>
    <n v="130"/>
    <n v="0"/>
    <n v="130"/>
    <x v="153"/>
    <s v=" 3/8/2023"/>
    <n v="4"/>
  </r>
  <r>
    <s v="C1722"/>
    <s v="O1722"/>
    <s v="ti-84 plus ce"/>
    <x v="0"/>
    <n v="1"/>
    <n v="130"/>
    <n v="0"/>
    <n v="130"/>
    <x v="154"/>
    <s v=" 5/8/2023"/>
    <n v="4"/>
  </r>
  <r>
    <s v="C1723"/>
    <s v="O1723"/>
    <s v="ti-84 plus ce"/>
    <x v="0"/>
    <n v="1"/>
    <n v="130"/>
    <n v="0"/>
    <n v="130"/>
    <x v="154"/>
    <s v=" 5/8/2023"/>
    <n v="3"/>
  </r>
  <r>
    <s v="C1724"/>
    <s v="O1724"/>
    <s v="ti-84 plus"/>
    <x v="0"/>
    <n v="1"/>
    <n v="125"/>
    <n v="10"/>
    <n v="115"/>
    <x v="155"/>
    <s v=" 7/8/2023"/>
    <n v="2"/>
  </r>
  <r>
    <s v="C1725"/>
    <s v="O1725"/>
    <s v="ti-84 plus"/>
    <x v="0"/>
    <n v="1"/>
    <n v="125"/>
    <n v="10"/>
    <n v="115"/>
    <x v="155"/>
    <s v=" 7/8/2023"/>
    <n v="3"/>
  </r>
  <r>
    <s v="C1726"/>
    <s v="O1726"/>
    <s v="ti-84 plus"/>
    <x v="0"/>
    <n v="1"/>
    <n v="125"/>
    <n v="10"/>
    <n v="115"/>
    <x v="155"/>
    <s v=" 7/8/2023"/>
    <n v="3"/>
  </r>
  <r>
    <s v="C1727"/>
    <s v="O1727"/>
    <s v="ti-84 plus"/>
    <x v="0"/>
    <n v="1"/>
    <n v="125"/>
    <n v="5"/>
    <n v="120"/>
    <x v="156"/>
    <s v=" 10/8/2023"/>
    <n v="3"/>
  </r>
  <r>
    <s v="C1728"/>
    <s v="O1728"/>
    <s v="ti-84 plus"/>
    <x v="0"/>
    <n v="1"/>
    <n v="125"/>
    <n v="5"/>
    <n v="120"/>
    <x v="156"/>
    <s v=" 10/8/2023"/>
    <n v="3"/>
  </r>
  <r>
    <s v="C1729"/>
    <s v="O1729"/>
    <s v="ti-nspire cx"/>
    <x v="0"/>
    <n v="1"/>
    <n v="190"/>
    <n v="10"/>
    <n v="180"/>
    <x v="157"/>
    <s v=" 12/8/2023"/>
    <n v="1"/>
  </r>
  <r>
    <s v="C1730"/>
    <s v="O1730"/>
    <s v="ti-84 plus ce"/>
    <x v="0"/>
    <n v="1"/>
    <n v="130"/>
    <n v="0"/>
    <n v="130"/>
    <x v="157"/>
    <s v=" 11/8/2023"/>
    <n v="3"/>
  </r>
  <r>
    <s v="C1731"/>
    <s v="O1731"/>
    <s v="ti-84 plus ce"/>
    <x v="0"/>
    <n v="1"/>
    <n v="130"/>
    <n v="5"/>
    <n v="125"/>
    <x v="157"/>
    <s v=" 9/8/2023"/>
    <n v="2"/>
  </r>
  <r>
    <s v="C1732"/>
    <s v="O1732"/>
    <s v="ti-nspire cx"/>
    <x v="0"/>
    <n v="1"/>
    <n v="190"/>
    <n v="10"/>
    <n v="180"/>
    <x v="157"/>
    <s v=" 12/8/2023"/>
    <n v="1"/>
  </r>
  <r>
    <s v="C1733"/>
    <s v="O1733"/>
    <s v="ti-84 plus ce"/>
    <x v="0"/>
    <n v="1"/>
    <n v="130"/>
    <n v="0"/>
    <n v="130"/>
    <x v="157"/>
    <s v=" 11/8/2023"/>
    <n v="3"/>
  </r>
  <r>
    <s v="C1734"/>
    <s v="O1734"/>
    <s v="ti-84 plus ce"/>
    <x v="0"/>
    <n v="1"/>
    <n v="130"/>
    <n v="5"/>
    <n v="125"/>
    <x v="157"/>
    <s v=" 9/8/2023"/>
    <n v="1"/>
  </r>
  <r>
    <s v="C1735"/>
    <s v="O1735"/>
    <s v="ti-84 plus ce"/>
    <x v="0"/>
    <n v="1"/>
    <n v="130"/>
    <n v="10"/>
    <n v="120"/>
    <x v="158"/>
    <s v=" 12/8/2023"/>
    <n v="4"/>
  </r>
  <r>
    <s v="C1736"/>
    <s v="O1736"/>
    <s v="TI-83 plus"/>
    <x v="0"/>
    <n v="2"/>
    <n v="85"/>
    <n v="0"/>
    <n v="170"/>
    <x v="158"/>
    <s v=" 11/8/2023"/>
    <n v="3"/>
  </r>
  <r>
    <s v="C1737"/>
    <s v="O1737"/>
    <s v="ti-84 plus ce"/>
    <x v="0"/>
    <n v="1"/>
    <n v="130"/>
    <n v="10"/>
    <n v="120"/>
    <x v="158"/>
    <s v=" 12/8/2023"/>
    <n v="3"/>
  </r>
  <r>
    <s v="C1738"/>
    <s v="O1738"/>
    <s v="TI-83 plus"/>
    <x v="0"/>
    <n v="2"/>
    <n v="85"/>
    <n v="0"/>
    <n v="170"/>
    <x v="158"/>
    <s v=" 11/8/2023"/>
    <n v="2"/>
  </r>
  <r>
    <s v="C1739"/>
    <s v="O1739"/>
    <s v="TI-83 plus"/>
    <x v="0"/>
    <n v="2"/>
    <n v="85"/>
    <n v="0"/>
    <n v="170"/>
    <x v="158"/>
    <s v=" 11/8/2023"/>
    <n v="1"/>
  </r>
  <r>
    <s v="C1740"/>
    <s v="O1740"/>
    <s v="ti-84 plus ce"/>
    <x v="0"/>
    <n v="1"/>
    <n v="130"/>
    <n v="0"/>
    <n v="130"/>
    <x v="159"/>
    <s v=" 12/8/2023"/>
    <n v="3"/>
  </r>
  <r>
    <s v="C1741"/>
    <s v="O1741"/>
    <s v="ti-84 plus ce"/>
    <x v="0"/>
    <n v="1"/>
    <n v="130"/>
    <n v="0"/>
    <n v="130"/>
    <x v="159"/>
    <s v=" 12/8/2023"/>
    <n v="4"/>
  </r>
  <r>
    <s v="C1742"/>
    <s v="O1742"/>
    <s v="TI-83 plus"/>
    <x v="0"/>
    <n v="1"/>
    <n v="85"/>
    <n v="10"/>
    <n v="75"/>
    <x v="160"/>
    <s v=" 15/8/2023"/>
    <n v="3"/>
  </r>
  <r>
    <s v="C1743"/>
    <s v="O1743"/>
    <s v="TI-83 plus"/>
    <x v="0"/>
    <n v="1"/>
    <n v="85"/>
    <n v="10"/>
    <n v="75"/>
    <x v="160"/>
    <s v=" 15/8/2023"/>
    <n v="4"/>
  </r>
  <r>
    <s v="C1744"/>
    <s v="O1744"/>
    <s v="TI-83 plus"/>
    <x v="0"/>
    <n v="1"/>
    <n v="85"/>
    <n v="10"/>
    <n v="75"/>
    <x v="160"/>
    <s v=" 15/8/2023"/>
    <n v="3"/>
  </r>
  <r>
    <s v="C1745"/>
    <s v="O1745"/>
    <s v="ti-nspire cx"/>
    <x v="0"/>
    <n v="1"/>
    <n v="190"/>
    <n v="5"/>
    <n v="185"/>
    <x v="161"/>
    <s v=" 16/8/2023"/>
    <n v="3"/>
  </r>
  <r>
    <s v="C1746"/>
    <s v="O1746"/>
    <s v="ti-84 plus ce"/>
    <x v="0"/>
    <n v="1"/>
    <n v="130"/>
    <n v="5"/>
    <n v="125"/>
    <x v="161"/>
    <s v=" 13/8/2023"/>
    <n v="1"/>
  </r>
  <r>
    <s v="C1747"/>
    <s v="O1747"/>
    <s v="ti-nspire cx"/>
    <x v="0"/>
    <n v="1"/>
    <n v="190"/>
    <n v="5"/>
    <n v="185"/>
    <x v="161"/>
    <s v=" 16/8/2023"/>
    <n v="1"/>
  </r>
  <r>
    <s v="C1748"/>
    <s v="O1748"/>
    <s v="ti-84 plus ce"/>
    <x v="0"/>
    <n v="1"/>
    <n v="130"/>
    <n v="5"/>
    <n v="125"/>
    <x v="161"/>
    <s v=" 13/8/2023"/>
    <n v="1"/>
  </r>
  <r>
    <s v="C1749"/>
    <s v="O1749"/>
    <s v="ti-84 plus ce"/>
    <x v="0"/>
    <n v="1"/>
    <n v="130"/>
    <n v="5"/>
    <n v="125"/>
    <x v="161"/>
    <s v=" 13/8/2023"/>
    <n v="1"/>
  </r>
  <r>
    <s v="C1750"/>
    <s v="O1750"/>
    <s v="ti-nspire CX II Cas"/>
    <x v="1"/>
    <n v="1"/>
    <n v="215"/>
    <n v="5"/>
    <n v="210"/>
    <x v="162"/>
    <s v=" 19/8/2023"/>
    <n v="4"/>
  </r>
  <r>
    <s v="C1751"/>
    <s v="O1751"/>
    <s v="TI-84 PLUS CE PYTHON"/>
    <x v="0"/>
    <n v="2"/>
    <n v="135"/>
    <n v="0"/>
    <n v="270"/>
    <x v="162"/>
    <s v=" 14/8/2023"/>
    <n v="2"/>
  </r>
  <r>
    <s v="C1752"/>
    <s v="O1752"/>
    <s v="ti-84 plus"/>
    <x v="0"/>
    <n v="1"/>
    <n v="125"/>
    <n v="0"/>
    <n v="125"/>
    <x v="162"/>
    <s v=" 17/8/2023"/>
    <n v="1"/>
  </r>
  <r>
    <s v="C1753"/>
    <s v="O1753"/>
    <s v="ti-nspire CX II Cas"/>
    <x v="1"/>
    <n v="1"/>
    <n v="215"/>
    <n v="5"/>
    <n v="210"/>
    <x v="162"/>
    <s v=" 19/8/2023"/>
    <n v="2"/>
  </r>
  <r>
    <s v="C1754"/>
    <s v="O1754"/>
    <s v="TI-84 PLUS CE PYTHON"/>
    <x v="0"/>
    <n v="2"/>
    <n v="135"/>
    <n v="0"/>
    <n v="270"/>
    <x v="162"/>
    <s v=" 14/8/2023"/>
    <n v="4"/>
  </r>
  <r>
    <s v="C1755"/>
    <s v="O1755"/>
    <s v="ti-84 plus"/>
    <x v="0"/>
    <n v="1"/>
    <n v="125"/>
    <n v="0"/>
    <n v="125"/>
    <x v="162"/>
    <s v=" 17/8/2023"/>
    <n v="1"/>
  </r>
  <r>
    <s v="C1756"/>
    <s v="O1756"/>
    <s v="ti-84 plus ce"/>
    <x v="0"/>
    <n v="1"/>
    <n v="130"/>
    <n v="10"/>
    <n v="120"/>
    <x v="163"/>
    <s v=" 16/8/2023"/>
    <n v="2"/>
  </r>
  <r>
    <s v="C1757"/>
    <s v="O1757"/>
    <s v="ti-84 plus ce"/>
    <x v="0"/>
    <n v="1"/>
    <n v="130"/>
    <n v="10"/>
    <n v="120"/>
    <x v="163"/>
    <s v=" 16/8/2023"/>
    <n v="1"/>
  </r>
  <r>
    <s v="C1758"/>
    <s v="O1758"/>
    <s v="ti-84 plus ce"/>
    <x v="0"/>
    <n v="1"/>
    <n v="130"/>
    <n v="10"/>
    <n v="120"/>
    <x v="163"/>
    <s v=" 16/8/2023"/>
    <n v="2"/>
  </r>
  <r>
    <s v="C1759"/>
    <s v="O1759"/>
    <s v="ti-nspire cx"/>
    <x v="0"/>
    <n v="1"/>
    <n v="190"/>
    <n v="10"/>
    <n v="180"/>
    <x v="164"/>
    <s v=" 20/8/2023"/>
    <n v="2"/>
  </r>
  <r>
    <s v="C1760"/>
    <s v="O1760"/>
    <s v="ti-nspire cx"/>
    <x v="0"/>
    <n v="1"/>
    <n v="190"/>
    <n v="10"/>
    <n v="180"/>
    <x v="164"/>
    <s v=" 20/8/2023"/>
    <n v="3"/>
  </r>
  <r>
    <s v="C1761"/>
    <s v="O1761"/>
    <s v="TI-83 plus"/>
    <x v="0"/>
    <n v="2"/>
    <n v="85"/>
    <n v="0"/>
    <n v="170"/>
    <x v="165"/>
    <s v=" 22/8/2023"/>
    <n v="3"/>
  </r>
  <r>
    <s v="C1762"/>
    <s v="O1762"/>
    <s v="ti-89 titanium"/>
    <x v="1"/>
    <n v="3"/>
    <n v="220"/>
    <n v="0"/>
    <n v="660"/>
    <x v="165"/>
    <s v=" 19/8/2023"/>
    <n v="1"/>
  </r>
  <r>
    <s v="C1763"/>
    <s v="O1763"/>
    <s v="TI-83 plus"/>
    <x v="0"/>
    <n v="2"/>
    <n v="85"/>
    <n v="0"/>
    <n v="170"/>
    <x v="165"/>
    <s v=" 22/8/2023"/>
    <n v="2"/>
  </r>
  <r>
    <s v="C1764"/>
    <s v="O1764"/>
    <s v="ti-89 titanium"/>
    <x v="1"/>
    <n v="3"/>
    <n v="220"/>
    <n v="0"/>
    <n v="660"/>
    <x v="165"/>
    <s v=" 19/8/2023"/>
    <n v="2"/>
  </r>
  <r>
    <s v="C1765"/>
    <s v="O1765"/>
    <s v="ti-89 titanium"/>
    <x v="1"/>
    <n v="3"/>
    <n v="220"/>
    <n v="0"/>
    <n v="660"/>
    <x v="165"/>
    <s v=" 19/8/2023"/>
    <n v="4"/>
  </r>
  <r>
    <s v="C1766"/>
    <s v="O1766"/>
    <s v="ti-84 plus ce"/>
    <x v="0"/>
    <n v="1"/>
    <n v="130"/>
    <n v="0"/>
    <n v="130"/>
    <x v="166"/>
    <s v=" 22/8/2023"/>
    <n v="3"/>
  </r>
  <r>
    <s v="C1767"/>
    <s v="O1767"/>
    <s v="ti-84 plus ce"/>
    <x v="0"/>
    <n v="1"/>
    <n v="130"/>
    <n v="0"/>
    <n v="130"/>
    <x v="166"/>
    <s v=" 22/8/2023"/>
    <n v="3"/>
  </r>
  <r>
    <s v="C1768"/>
    <s v="O1768"/>
    <s v="ti-84 plus ce"/>
    <x v="0"/>
    <n v="1"/>
    <n v="130"/>
    <n v="0"/>
    <n v="130"/>
    <x v="166"/>
    <s v=" 22/8/2023"/>
    <n v="1"/>
  </r>
  <r>
    <s v="C1769"/>
    <s v="O1769"/>
    <s v="ti-84 plus ce"/>
    <x v="0"/>
    <n v="1"/>
    <n v="130"/>
    <n v="10"/>
    <n v="120"/>
    <x v="167"/>
    <s v=" 22/8/2023"/>
    <n v="3"/>
  </r>
  <r>
    <s v="C1770"/>
    <s v="O1770"/>
    <s v="ti-84 plus ce"/>
    <x v="0"/>
    <n v="1"/>
    <n v="130"/>
    <n v="10"/>
    <n v="120"/>
    <x v="167"/>
    <s v=" 22/8/2023"/>
    <n v="4"/>
  </r>
  <r>
    <s v="C1771"/>
    <s v="O1771"/>
    <s v="ti-84 plus ce"/>
    <x v="0"/>
    <n v="2"/>
    <n v="130"/>
    <n v="0"/>
    <n v="260"/>
    <x v="168"/>
    <s v=" 23/8/2023"/>
    <n v="2"/>
  </r>
  <r>
    <s v="C1772"/>
    <s v="O1772"/>
    <s v="ti-84 plus ce"/>
    <x v="0"/>
    <n v="2"/>
    <n v="130"/>
    <n v="0"/>
    <n v="260"/>
    <x v="168"/>
    <s v=" 23/8/2023"/>
    <n v="3"/>
  </r>
  <r>
    <s v="C1773"/>
    <s v="O1773"/>
    <s v="TI-84 PLUS CE PYTHON"/>
    <x v="0"/>
    <n v="2"/>
    <n v="135"/>
    <n v="0"/>
    <n v="270"/>
    <x v="169"/>
    <s v=" 27/8/2023"/>
    <n v="4"/>
  </r>
  <r>
    <s v="C1774"/>
    <s v="O1774"/>
    <s v="ti-nspire cx"/>
    <x v="0"/>
    <n v="4"/>
    <n v="190"/>
    <n v="10"/>
    <n v="750"/>
    <x v="169"/>
    <s v=" 27/8/2023"/>
    <n v="2"/>
  </r>
  <r>
    <s v="C1775"/>
    <s v="O1775"/>
    <s v="ti-84 plus ce"/>
    <x v="0"/>
    <n v="3"/>
    <n v="130"/>
    <n v="0"/>
    <n v="390"/>
    <x v="169"/>
    <s v=" 26/8/2023"/>
    <n v="1"/>
  </r>
  <r>
    <s v="C1776"/>
    <s v="O1776"/>
    <s v="TI-84 PLUS CE PYTHON"/>
    <x v="0"/>
    <n v="2"/>
    <n v="135"/>
    <n v="0"/>
    <n v="270"/>
    <x v="169"/>
    <s v=" 27/8/2023"/>
    <n v="2"/>
  </r>
  <r>
    <s v="C1777"/>
    <s v="O1777"/>
    <s v="ti-nspire cx"/>
    <x v="0"/>
    <n v="4"/>
    <n v="190"/>
    <n v="10"/>
    <n v="750"/>
    <x v="169"/>
    <s v=" 27/8/2023"/>
    <n v="4"/>
  </r>
  <r>
    <s v="C1778"/>
    <s v="O1778"/>
    <s v="ti-84 plus ce"/>
    <x v="0"/>
    <n v="3"/>
    <n v="130"/>
    <n v="0"/>
    <n v="390"/>
    <x v="169"/>
    <s v=" 26/8/2023"/>
    <n v="1"/>
  </r>
  <r>
    <s v="C1779"/>
    <s v="O1779"/>
    <s v="ti-nspire cx"/>
    <x v="0"/>
    <n v="4"/>
    <n v="190"/>
    <n v="10"/>
    <n v="750"/>
    <x v="169"/>
    <s v=" 27/8/2023"/>
    <n v="4"/>
  </r>
  <r>
    <s v="C1780"/>
    <s v="O1780"/>
    <s v="ti-84 plus ce"/>
    <x v="0"/>
    <n v="3"/>
    <n v="130"/>
    <n v="0"/>
    <n v="390"/>
    <x v="169"/>
    <s v=" 26/8/2023"/>
    <n v="3"/>
  </r>
  <r>
    <s v="C1781"/>
    <s v="O1781"/>
    <s v="ti-84 plus ce"/>
    <x v="0"/>
    <n v="1"/>
    <n v="130"/>
    <n v="0"/>
    <n v="130"/>
    <x v="170"/>
    <s v=" 25/8/2023"/>
    <n v="2"/>
  </r>
  <r>
    <s v="C1782"/>
    <s v="O1782"/>
    <s v="ti-84 plus ce"/>
    <x v="0"/>
    <n v="1"/>
    <n v="130"/>
    <n v="0"/>
    <n v="130"/>
    <x v="170"/>
    <s v=" 25/8/2023"/>
    <n v="3"/>
  </r>
  <r>
    <s v="C1783"/>
    <s v="O1783"/>
    <s v="ti-84 plus ce"/>
    <x v="0"/>
    <n v="4"/>
    <n v="130"/>
    <n v="0"/>
    <n v="520"/>
    <x v="171"/>
    <s v=" 1/9/2023"/>
    <n v="4"/>
  </r>
  <r>
    <s v="C1784"/>
    <s v="O1784"/>
    <s v="ti-nspire cx"/>
    <x v="0"/>
    <n v="1"/>
    <n v="190"/>
    <n v="0"/>
    <n v="190"/>
    <x v="171"/>
    <s v=" 28/8/2023"/>
    <n v="1"/>
  </r>
  <r>
    <s v="C1785"/>
    <s v="O1785"/>
    <s v="TI-84 PLUS CE PYTHON"/>
    <x v="0"/>
    <n v="1"/>
    <n v="135"/>
    <n v="0"/>
    <n v="135"/>
    <x v="171"/>
    <s v=" 2/9/2023"/>
    <n v="3"/>
  </r>
  <r>
    <s v="C1786"/>
    <s v="O1786"/>
    <s v="ti-84 plus ce"/>
    <x v="0"/>
    <n v="4"/>
    <n v="130"/>
    <n v="0"/>
    <n v="520"/>
    <x v="171"/>
    <s v=" 1/9/2023"/>
    <n v="1"/>
  </r>
  <r>
    <s v="C1787"/>
    <s v="O1787"/>
    <s v="ti-nspire cx"/>
    <x v="0"/>
    <n v="1"/>
    <n v="190"/>
    <n v="0"/>
    <n v="190"/>
    <x v="171"/>
    <s v=" 28/8/2023"/>
    <n v="4"/>
  </r>
  <r>
    <s v="C1788"/>
    <s v="O1788"/>
    <s v="TI-84 PLUS CE PYTHON"/>
    <x v="0"/>
    <n v="1"/>
    <n v="135"/>
    <n v="0"/>
    <n v="135"/>
    <x v="171"/>
    <s v=" 2/9/2023"/>
    <n v="2"/>
  </r>
  <r>
    <s v="C1789"/>
    <s v="O1789"/>
    <s v="TI-84 PLUS CE PYTHON"/>
    <x v="0"/>
    <n v="1"/>
    <n v="135"/>
    <n v="0"/>
    <n v="135"/>
    <x v="171"/>
    <s v=" 2/9/2023"/>
    <n v="3"/>
  </r>
  <r>
    <s v="C1790"/>
    <s v="O1790"/>
    <s v="ti-84 plus ce"/>
    <x v="0"/>
    <n v="4"/>
    <n v="130"/>
    <n v="0"/>
    <n v="520"/>
    <x v="172"/>
    <s v=" 31/8/2023"/>
    <n v="1"/>
  </r>
  <r>
    <s v="C1791"/>
    <s v="O1791"/>
    <s v="ti-84 plus ce"/>
    <x v="0"/>
    <n v="4"/>
    <n v="130"/>
    <n v="0"/>
    <n v="520"/>
    <x v="172"/>
    <s v=" 31/8/2023"/>
    <n v="3"/>
  </r>
  <r>
    <s v="C1792"/>
    <s v="O1792"/>
    <s v="ti-84 plus ce"/>
    <x v="0"/>
    <n v="1"/>
    <n v="130"/>
    <n v="0"/>
    <n v="130"/>
    <x v="173"/>
    <s v=" 5/9/2023"/>
    <n v="2"/>
  </r>
  <r>
    <s v="C1793"/>
    <s v="O1793"/>
    <s v="TI-84 PLUS CE PYTHON"/>
    <x v="0"/>
    <n v="1"/>
    <n v="135"/>
    <n v="0"/>
    <n v="135"/>
    <x v="173"/>
    <s v=" 2/9/2023"/>
    <n v="4"/>
  </r>
  <r>
    <s v="C1794"/>
    <s v="O1794"/>
    <s v="ti-84 plus ce"/>
    <x v="0"/>
    <n v="1"/>
    <n v="130"/>
    <n v="0"/>
    <n v="130"/>
    <x v="173"/>
    <s v=" 5/9/2023"/>
    <n v="3"/>
  </r>
  <r>
    <s v="C1795"/>
    <s v="O1795"/>
    <s v="TI-84 PLUS CE PYTHON"/>
    <x v="0"/>
    <n v="1"/>
    <n v="135"/>
    <n v="0"/>
    <n v="135"/>
    <x v="173"/>
    <s v=" 2/9/2023"/>
    <n v="1"/>
  </r>
  <r>
    <s v="C1796"/>
    <s v="O1796"/>
    <s v="TI-84 PLUS CE PYTHON"/>
    <x v="0"/>
    <n v="1"/>
    <n v="135"/>
    <n v="0"/>
    <n v="135"/>
    <x v="173"/>
    <s v=" 2/9/2023"/>
    <n v="4"/>
  </r>
  <r>
    <s v="C1797"/>
    <s v="O1797"/>
    <s v="ti-nspire cx"/>
    <x v="0"/>
    <n v="1"/>
    <n v="190"/>
    <n v="0"/>
    <n v="190"/>
    <x v="174"/>
    <s v=" 7/9/2023"/>
    <n v="4"/>
  </r>
  <r>
    <s v="C1798"/>
    <s v="O1798"/>
    <s v="ti-84 plus ce"/>
    <x v="0"/>
    <n v="1"/>
    <n v="130"/>
    <n v="0"/>
    <n v="130"/>
    <x v="174"/>
    <s v=" 8/9/2023"/>
    <n v="3"/>
  </r>
  <r>
    <s v="C1799"/>
    <s v="O1799"/>
    <s v="ti-nspire cx"/>
    <x v="0"/>
    <n v="1"/>
    <n v="190"/>
    <n v="0"/>
    <n v="190"/>
    <x v="174"/>
    <s v=" 7/9/2023"/>
    <n v="1"/>
  </r>
  <r>
    <s v="C1800"/>
    <s v="O1800"/>
    <s v="ti-84 plus ce"/>
    <x v="0"/>
    <n v="1"/>
    <n v="130"/>
    <n v="0"/>
    <n v="130"/>
    <x v="174"/>
    <s v=" 8/9/2023"/>
    <n v="3"/>
  </r>
  <r>
    <s v="C1801"/>
    <s v="O1801"/>
    <s v="ti-84 plus ce"/>
    <x v="0"/>
    <n v="1"/>
    <n v="130"/>
    <n v="0"/>
    <n v="130"/>
    <x v="174"/>
    <s v=" 8/9/2023"/>
    <n v="3"/>
  </r>
  <r>
    <s v="C1802"/>
    <s v="O1802"/>
    <s v="TI-84 PLUS CE PYTHON"/>
    <x v="0"/>
    <n v="1"/>
    <n v="135"/>
    <n v="5"/>
    <n v="130"/>
    <x v="175"/>
    <s v=" 9/9/2023"/>
    <n v="3"/>
  </r>
  <r>
    <s v="C1803"/>
    <s v="O1803"/>
    <s v="TI-84 PLUS CE PYTHON"/>
    <x v="0"/>
    <n v="1"/>
    <n v="135"/>
    <n v="10"/>
    <n v="125"/>
    <x v="175"/>
    <s v=" 4/9/2023"/>
    <n v="2"/>
  </r>
  <r>
    <s v="C1804"/>
    <s v="O1804"/>
    <s v="TI-84 PLUS CE PYTHON"/>
    <x v="0"/>
    <n v="1"/>
    <n v="135"/>
    <n v="5"/>
    <n v="130"/>
    <x v="175"/>
    <s v=" 9/9/2023"/>
    <n v="1"/>
  </r>
  <r>
    <s v="C1805"/>
    <s v="O1805"/>
    <s v="TI-84 PLUS CE PYTHON"/>
    <x v="0"/>
    <n v="1"/>
    <n v="135"/>
    <n v="10"/>
    <n v="125"/>
    <x v="175"/>
    <s v=" 4/9/2023"/>
    <n v="2"/>
  </r>
  <r>
    <s v="C1806"/>
    <s v="O1806"/>
    <s v="ti-84 plus ce"/>
    <x v="0"/>
    <n v="1"/>
    <n v="130"/>
    <n v="0"/>
    <n v="130"/>
    <x v="176"/>
    <s v=" 7/9/2023"/>
    <n v="1"/>
  </r>
  <r>
    <s v="C1807"/>
    <s v="O1807"/>
    <s v="ti-84 plus ce"/>
    <x v="0"/>
    <n v="1"/>
    <n v="130"/>
    <n v="0"/>
    <n v="130"/>
    <x v="176"/>
    <s v=" 7/9/2023"/>
    <n v="4"/>
  </r>
  <r>
    <s v="C1808"/>
    <s v="O1808"/>
    <s v="ti-84 plus ce"/>
    <x v="0"/>
    <n v="1"/>
    <n v="130"/>
    <n v="0"/>
    <n v="130"/>
    <x v="176"/>
    <s v=" 7/9/2023"/>
    <n v="4"/>
  </r>
  <r>
    <s v="C1809"/>
    <s v="O1809"/>
    <s v="ti-84 plus ce"/>
    <x v="0"/>
    <n v="1"/>
    <n v="130"/>
    <n v="10"/>
    <n v="120"/>
    <x v="177"/>
    <s v=" 9/9/2023"/>
    <n v="4"/>
  </r>
  <r>
    <s v="C1810"/>
    <s v="O1810"/>
    <s v="ti-84 plus ce"/>
    <x v="0"/>
    <n v="1"/>
    <n v="130"/>
    <n v="0"/>
    <n v="130"/>
    <x v="177"/>
    <s v=" 10/9/2023"/>
    <n v="4"/>
  </r>
  <r>
    <s v="C1811"/>
    <s v="O1811"/>
    <s v="ti-84 plus ce"/>
    <x v="0"/>
    <n v="1"/>
    <n v="130"/>
    <n v="10"/>
    <n v="120"/>
    <x v="177"/>
    <s v=" 9/9/2023"/>
    <n v="3"/>
  </r>
  <r>
    <s v="C1812"/>
    <s v="O1812"/>
    <s v="ti-84 plus ce"/>
    <x v="0"/>
    <n v="1"/>
    <n v="130"/>
    <n v="0"/>
    <n v="130"/>
    <x v="177"/>
    <s v=" 10/9/2023"/>
    <n v="1"/>
  </r>
  <r>
    <s v="C1813"/>
    <s v="O1813"/>
    <s v="ti-84 plus ce"/>
    <x v="0"/>
    <n v="1"/>
    <n v="130"/>
    <n v="5"/>
    <n v="125"/>
    <x v="178"/>
    <s v=" 8/9/2023"/>
    <n v="2"/>
  </r>
  <r>
    <s v="C1814"/>
    <s v="O1814"/>
    <s v="Ti-nspire CX II"/>
    <x v="0"/>
    <n v="3"/>
    <n v="210"/>
    <n v="0"/>
    <n v="630"/>
    <x v="178"/>
    <s v=" 8/9/2023"/>
    <n v="1"/>
  </r>
  <r>
    <s v="C1815"/>
    <s v="O1815"/>
    <s v="ti-84 plus ce"/>
    <x v="0"/>
    <n v="1"/>
    <n v="130"/>
    <n v="5"/>
    <n v="125"/>
    <x v="178"/>
    <s v=" 8/9/2023"/>
    <n v="2"/>
  </r>
  <r>
    <s v="C1816"/>
    <s v="O1816"/>
    <s v="Ti-nspire CX II"/>
    <x v="0"/>
    <n v="3"/>
    <n v="210"/>
    <n v="0"/>
    <n v="630"/>
    <x v="178"/>
    <s v=" 8/9/2023"/>
    <n v="3"/>
  </r>
  <r>
    <s v="C1817"/>
    <s v="O1817"/>
    <s v="ti-84 plus ce"/>
    <x v="0"/>
    <n v="1"/>
    <n v="130"/>
    <n v="5"/>
    <n v="125"/>
    <x v="178"/>
    <s v=" 8/9/2023"/>
    <n v="2"/>
  </r>
  <r>
    <s v="C1818"/>
    <s v="O1818"/>
    <s v="TI-NSPIRE CX CAS"/>
    <x v="1"/>
    <n v="1"/>
    <n v="200"/>
    <n v="0"/>
    <n v="200"/>
    <x v="179"/>
    <s v=" 14/9/2023"/>
    <n v="2"/>
  </r>
  <r>
    <s v="C1819"/>
    <s v="O1819"/>
    <s v="TI-84 PLUS CE PYTHON"/>
    <x v="0"/>
    <n v="2"/>
    <n v="135"/>
    <n v="0"/>
    <n v="270"/>
    <x v="179"/>
    <s v=" 13/9/2023"/>
    <n v="4"/>
  </r>
  <r>
    <s v="C1820"/>
    <s v="O1820"/>
    <s v="TI-NSPIRE CX CAS"/>
    <x v="1"/>
    <n v="1"/>
    <n v="200"/>
    <n v="0"/>
    <n v="200"/>
    <x v="179"/>
    <s v=" 14/9/2023"/>
    <n v="3"/>
  </r>
  <r>
    <s v="C1821"/>
    <s v="O1821"/>
    <s v="TI-84 PLUS CE PYTHON"/>
    <x v="0"/>
    <n v="2"/>
    <n v="135"/>
    <n v="0"/>
    <n v="270"/>
    <x v="179"/>
    <s v=" 13/9/2023"/>
    <n v="3"/>
  </r>
  <r>
    <s v="C1822"/>
    <s v="O1822"/>
    <s v="TI-84 PLUS CE PYTHON"/>
    <x v="0"/>
    <n v="2"/>
    <n v="135"/>
    <n v="0"/>
    <n v="270"/>
    <x v="179"/>
    <s v=" 13/9/2023"/>
    <n v="3"/>
  </r>
  <r>
    <s v="C1823"/>
    <s v="O1823"/>
    <s v="ti-nspire cx"/>
    <x v="0"/>
    <n v="3"/>
    <n v="190"/>
    <n v="0"/>
    <n v="570"/>
    <x v="180"/>
    <s v=" 15/9/2023"/>
    <n v="1"/>
  </r>
  <r>
    <s v="C1824"/>
    <s v="O1824"/>
    <s v="TI-84 PLUS CE PYTHON"/>
    <x v="0"/>
    <n v="3"/>
    <n v="135"/>
    <n v="0"/>
    <n v="405"/>
    <x v="180"/>
    <s v=" 13/9/2023"/>
    <n v="3"/>
  </r>
  <r>
    <s v="C1825"/>
    <s v="O1825"/>
    <s v="TI-84 PLUS CE PYTHON"/>
    <x v="0"/>
    <n v="1"/>
    <n v="135"/>
    <n v="0"/>
    <n v="135"/>
    <x v="180"/>
    <s v=" 13/9/2023"/>
    <n v="2"/>
  </r>
  <r>
    <s v="C1826"/>
    <s v="O1826"/>
    <s v="ti-nspire cx"/>
    <x v="0"/>
    <n v="3"/>
    <n v="190"/>
    <n v="0"/>
    <n v="570"/>
    <x v="180"/>
    <s v=" 15/9/2023"/>
    <n v="3"/>
  </r>
  <r>
    <s v="C1827"/>
    <s v="O1827"/>
    <s v="TI-84 PLUS CE PYTHON"/>
    <x v="0"/>
    <n v="3"/>
    <n v="135"/>
    <n v="0"/>
    <n v="405"/>
    <x v="180"/>
    <s v=" 13/9/2023"/>
    <n v="1"/>
  </r>
  <r>
    <s v="C1828"/>
    <s v="O1828"/>
    <s v="TI-84 PLUS CE PYTHON"/>
    <x v="0"/>
    <n v="1"/>
    <n v="135"/>
    <n v="0"/>
    <n v="135"/>
    <x v="180"/>
    <s v=" 13/9/2023"/>
    <n v="1"/>
  </r>
  <r>
    <s v="C1829"/>
    <s v="O1829"/>
    <s v="TI-84 PLUS CE PYTHON"/>
    <x v="0"/>
    <n v="1"/>
    <n v="135"/>
    <n v="0"/>
    <n v="135"/>
    <x v="180"/>
    <s v=" 13/9/2023"/>
    <n v="3"/>
  </r>
  <r>
    <s v="C1830"/>
    <s v="O1830"/>
    <s v="Ti-nspire CX II"/>
    <x v="0"/>
    <n v="1"/>
    <n v="210"/>
    <n v="0"/>
    <n v="210"/>
    <x v="181"/>
    <s v=" 15/9/2023"/>
    <n v="4"/>
  </r>
  <r>
    <s v="C1831"/>
    <s v="O1831"/>
    <s v="ti-nspire cx"/>
    <x v="0"/>
    <n v="1"/>
    <n v="190"/>
    <n v="0"/>
    <n v="190"/>
    <x v="181"/>
    <s v=" 17/9/2023"/>
    <n v="2"/>
  </r>
  <r>
    <s v="C1832"/>
    <s v="O1832"/>
    <s v="TI-83 plus"/>
    <x v="0"/>
    <n v="1"/>
    <n v="85"/>
    <n v="0"/>
    <n v="85"/>
    <x v="181"/>
    <s v=" 15/9/2023"/>
    <n v="1"/>
  </r>
  <r>
    <s v="C1833"/>
    <s v="O1833"/>
    <s v="Ti-nspire CX II"/>
    <x v="0"/>
    <n v="1"/>
    <n v="210"/>
    <n v="0"/>
    <n v="210"/>
    <x v="181"/>
    <s v=" 15/9/2023"/>
    <n v="3"/>
  </r>
  <r>
    <s v="C1834"/>
    <s v="O1834"/>
    <s v="ti-nspire cx"/>
    <x v="0"/>
    <n v="1"/>
    <n v="190"/>
    <n v="0"/>
    <n v="190"/>
    <x v="181"/>
    <s v=" 17/9/2023"/>
    <n v="3"/>
  </r>
  <r>
    <s v="C1835"/>
    <s v="O1835"/>
    <s v="TI-83 plus"/>
    <x v="0"/>
    <n v="1"/>
    <n v="85"/>
    <n v="0"/>
    <n v="85"/>
    <x v="181"/>
    <s v=" 15/9/2023"/>
    <n v="4"/>
  </r>
  <r>
    <s v="C1836"/>
    <s v="O1836"/>
    <s v="ti-nspire cx"/>
    <x v="0"/>
    <n v="1"/>
    <n v="190"/>
    <n v="0"/>
    <n v="190"/>
    <x v="181"/>
    <s v=" 17/9/2023"/>
    <n v="1"/>
  </r>
  <r>
    <s v="C1837"/>
    <s v="O1837"/>
    <s v="TI-83 plus"/>
    <x v="0"/>
    <n v="1"/>
    <n v="85"/>
    <n v="0"/>
    <n v="85"/>
    <x v="181"/>
    <s v=" 15/9/2023"/>
    <n v="2"/>
  </r>
  <r>
    <s v="C1838"/>
    <s v="O1838"/>
    <s v="ti-84 plus ce"/>
    <x v="0"/>
    <n v="2"/>
    <n v="130"/>
    <n v="0"/>
    <n v="260"/>
    <x v="182"/>
    <s v=" 15/9/2023"/>
    <n v="1"/>
  </r>
  <r>
    <s v="C1839"/>
    <s v="O1839"/>
    <s v="ti-84 plus ce"/>
    <x v="0"/>
    <n v="2"/>
    <n v="130"/>
    <n v="0"/>
    <n v="260"/>
    <x v="182"/>
    <s v=" 15/9/2023"/>
    <n v="4"/>
  </r>
  <r>
    <s v="C1840"/>
    <s v="O1840"/>
    <s v="ti-84 plus ce"/>
    <x v="0"/>
    <n v="1"/>
    <n v="130"/>
    <n v="5"/>
    <n v="125"/>
    <x v="183"/>
    <s v=" 15/9/2023"/>
    <n v="1"/>
  </r>
  <r>
    <s v="C1841"/>
    <s v="O1841"/>
    <s v="TI-84 PLUS CE PYTHON"/>
    <x v="0"/>
    <n v="1"/>
    <n v="135"/>
    <n v="10"/>
    <n v="125"/>
    <x v="183"/>
    <s v=" 16/9/2023"/>
    <n v="3"/>
  </r>
  <r>
    <s v="C1842"/>
    <s v="O1842"/>
    <s v="ti-84 plus ce"/>
    <x v="0"/>
    <n v="1"/>
    <n v="130"/>
    <n v="5"/>
    <n v="125"/>
    <x v="183"/>
    <s v=" 15/9/2023"/>
    <n v="3"/>
  </r>
  <r>
    <s v="C1843"/>
    <s v="O1843"/>
    <s v="TI-84 PLUS CE PYTHON"/>
    <x v="0"/>
    <n v="1"/>
    <n v="135"/>
    <n v="10"/>
    <n v="125"/>
    <x v="183"/>
    <s v=" 16/9/2023"/>
    <n v="1"/>
  </r>
  <r>
    <s v="C1844"/>
    <s v="O1844"/>
    <s v="TI-84 PLUS CE PYTHON"/>
    <x v="0"/>
    <n v="1"/>
    <n v="135"/>
    <n v="10"/>
    <n v="125"/>
    <x v="183"/>
    <s v=" 16/9/2023"/>
    <n v="2"/>
  </r>
  <r>
    <s v="C1845"/>
    <s v="O1845"/>
    <s v="ti-84 plus ce"/>
    <x v="0"/>
    <n v="2"/>
    <n v="130"/>
    <n v="5"/>
    <n v="255"/>
    <x v="184"/>
    <s v=" 17/9/2023"/>
    <n v="2"/>
  </r>
  <r>
    <s v="C1846"/>
    <s v="O1846"/>
    <s v="ti-84 plus ce"/>
    <x v="0"/>
    <n v="2"/>
    <n v="130"/>
    <n v="5"/>
    <n v="255"/>
    <x v="184"/>
    <s v=" 17/9/2023"/>
    <n v="4"/>
  </r>
  <r>
    <s v="C1847"/>
    <s v="O1847"/>
    <s v="ti-84 plus ce"/>
    <x v="0"/>
    <n v="1"/>
    <n v="130"/>
    <n v="5"/>
    <n v="125"/>
    <x v="185"/>
    <s v=" 18/9/2023"/>
    <n v="2"/>
  </r>
  <r>
    <s v="C1848"/>
    <s v="O1848"/>
    <s v="ti-84 plus ce"/>
    <x v="0"/>
    <n v="1"/>
    <n v="130"/>
    <n v="0"/>
    <n v="130"/>
    <x v="185"/>
    <s v=" 20/9/2023"/>
    <n v="2"/>
  </r>
  <r>
    <s v="C1849"/>
    <s v="O1849"/>
    <s v="TI-84 PLUS CE PYTHON"/>
    <x v="0"/>
    <n v="1"/>
    <n v="135"/>
    <n v="0"/>
    <n v="135"/>
    <x v="185"/>
    <s v=" 22/9/2023"/>
    <n v="2"/>
  </r>
  <r>
    <s v="C1850"/>
    <s v="O1850"/>
    <s v="ti-84 plus ce"/>
    <x v="0"/>
    <n v="1"/>
    <n v="130"/>
    <n v="5"/>
    <n v="125"/>
    <x v="185"/>
    <s v=" 20/9/2023"/>
    <n v="4"/>
  </r>
  <r>
    <s v="C1851"/>
    <s v="O1851"/>
    <s v="ti-84 plus ce"/>
    <x v="0"/>
    <n v="1"/>
    <n v="130"/>
    <n v="5"/>
    <n v="125"/>
    <x v="185"/>
    <s v=" 18/9/2023"/>
    <n v="1"/>
  </r>
  <r>
    <s v="C1852"/>
    <s v="O1852"/>
    <s v="ti-84 plus ce"/>
    <x v="0"/>
    <n v="1"/>
    <n v="130"/>
    <n v="0"/>
    <n v="130"/>
    <x v="185"/>
    <s v=" 20/9/2023"/>
    <n v="3"/>
  </r>
  <r>
    <s v="C1853"/>
    <s v="O1853"/>
    <s v="TI-84 PLUS CE PYTHON"/>
    <x v="0"/>
    <n v="1"/>
    <n v="135"/>
    <n v="0"/>
    <n v="135"/>
    <x v="185"/>
    <s v=" 22/9/2023"/>
    <n v="1"/>
  </r>
  <r>
    <s v="C1854"/>
    <s v="O1854"/>
    <s v="ti-84 plus ce"/>
    <x v="0"/>
    <n v="1"/>
    <n v="130"/>
    <n v="5"/>
    <n v="125"/>
    <x v="185"/>
    <s v=" 20/9/2023"/>
    <n v="3"/>
  </r>
  <r>
    <s v="C1855"/>
    <s v="O1855"/>
    <s v="TI-84 PLUS CE PYTHON"/>
    <x v="0"/>
    <n v="1"/>
    <n v="135"/>
    <n v="0"/>
    <n v="135"/>
    <x v="186"/>
    <s v=" 21/9/2023"/>
    <n v="4"/>
  </r>
  <r>
    <s v="C1856"/>
    <s v="O1856"/>
    <s v="TI-84 PLUS CE PYTHON"/>
    <x v="0"/>
    <n v="1"/>
    <n v="135"/>
    <n v="0"/>
    <n v="135"/>
    <x v="186"/>
    <s v=" 23/9/2023"/>
    <n v="3"/>
  </r>
  <r>
    <s v="C1857"/>
    <s v="O1857"/>
    <s v="TI-84 PLUS CE PYTHON"/>
    <x v="0"/>
    <n v="1"/>
    <n v="135"/>
    <n v="0"/>
    <n v="135"/>
    <x v="186"/>
    <s v=" 21/9/2023"/>
    <n v="3"/>
  </r>
  <r>
    <s v="C1858"/>
    <s v="O1858"/>
    <s v="TI-84 PLUS CE PYTHON"/>
    <x v="0"/>
    <n v="1"/>
    <n v="135"/>
    <n v="0"/>
    <n v="135"/>
    <x v="186"/>
    <s v=" 23/9/2023"/>
    <n v="3"/>
  </r>
  <r>
    <s v="C1859"/>
    <s v="O1859"/>
    <s v="ti-84 plus"/>
    <x v="0"/>
    <n v="1"/>
    <n v="125"/>
    <n v="0"/>
    <n v="125"/>
    <x v="187"/>
    <s v=" 22/9/2023"/>
    <n v="3"/>
  </r>
  <r>
    <s v="C1860"/>
    <s v="O1860"/>
    <s v="ti-84 plus ce"/>
    <x v="0"/>
    <n v="1"/>
    <n v="130"/>
    <n v="0"/>
    <n v="130"/>
    <x v="187"/>
    <s v=" 23/9/2023"/>
    <n v="3"/>
  </r>
  <r>
    <s v="C1861"/>
    <s v="O1861"/>
    <s v="ti-84 plus"/>
    <x v="0"/>
    <n v="1"/>
    <n v="125"/>
    <n v="0"/>
    <n v="125"/>
    <x v="187"/>
    <s v=" 22/9/2023"/>
    <n v="2"/>
  </r>
  <r>
    <s v="C1862"/>
    <s v="O1862"/>
    <s v="ti-84 plus ce"/>
    <x v="0"/>
    <n v="1"/>
    <n v="130"/>
    <n v="0"/>
    <n v="130"/>
    <x v="187"/>
    <s v=" 23/9/2023"/>
    <n v="2"/>
  </r>
  <r>
    <s v="C1863"/>
    <s v="O1863"/>
    <s v="ti-84 plus"/>
    <x v="0"/>
    <n v="3"/>
    <n v="125"/>
    <n v="5"/>
    <n v="370"/>
    <x v="188"/>
    <s v=" 21/9/2023"/>
    <n v="4"/>
  </r>
  <r>
    <s v="C1864"/>
    <s v="O1864"/>
    <s v="TI-84 PLUS CE PYTHON"/>
    <x v="0"/>
    <n v="1"/>
    <n v="135"/>
    <n v="5"/>
    <n v="130"/>
    <x v="188"/>
    <s v=" 20/9/2023"/>
    <n v="3"/>
  </r>
  <r>
    <s v="C1865"/>
    <s v="O1865"/>
    <s v="ti-84 plus"/>
    <x v="0"/>
    <n v="3"/>
    <n v="125"/>
    <n v="5"/>
    <n v="370"/>
    <x v="188"/>
    <s v=" 21/9/2023"/>
    <n v="1"/>
  </r>
  <r>
    <s v="C1866"/>
    <s v="O1866"/>
    <s v="TI-84 PLUS CE PYTHON"/>
    <x v="0"/>
    <n v="1"/>
    <n v="135"/>
    <n v="5"/>
    <n v="130"/>
    <x v="188"/>
    <s v=" 20/9/2023"/>
    <n v="1"/>
  </r>
  <r>
    <s v="C1867"/>
    <s v="O1867"/>
    <s v="ti-84 plus ce"/>
    <x v="0"/>
    <n v="2"/>
    <n v="130"/>
    <n v="0"/>
    <n v="260"/>
    <x v="189"/>
    <s v=" 21/9/2023"/>
    <n v="4"/>
  </r>
  <r>
    <s v="C1868"/>
    <s v="O1868"/>
    <s v="ti-84 plus ce"/>
    <x v="0"/>
    <n v="2"/>
    <n v="130"/>
    <n v="0"/>
    <n v="260"/>
    <x v="189"/>
    <s v=" 21/9/2023"/>
    <n v="3"/>
  </r>
  <r>
    <s v="C1869"/>
    <s v="O1869"/>
    <s v="ti-84 plus ce"/>
    <x v="0"/>
    <n v="2"/>
    <n v="130"/>
    <n v="0"/>
    <n v="260"/>
    <x v="189"/>
    <s v=" 21/9/2023"/>
    <n v="1"/>
  </r>
  <r>
    <s v="C1870"/>
    <s v="O1870"/>
    <s v="Ti-83 Plus SE"/>
    <x v="0"/>
    <n v="1"/>
    <n v="90"/>
    <n v="5"/>
    <n v="85"/>
    <x v="190"/>
    <s v=" 25/9/2023"/>
    <n v="2"/>
  </r>
  <r>
    <s v="C1871"/>
    <s v="O1871"/>
    <s v="ti-84 plus ce"/>
    <x v="0"/>
    <n v="1"/>
    <n v="130"/>
    <n v="5"/>
    <n v="125"/>
    <x v="190"/>
    <s v=" 24/9/2023"/>
    <n v="3"/>
  </r>
  <r>
    <s v="C1872"/>
    <s v="O1872"/>
    <s v="Ti-83 Plus SE"/>
    <x v="0"/>
    <n v="1"/>
    <n v="90"/>
    <n v="5"/>
    <n v="85"/>
    <x v="190"/>
    <s v=" 25/9/2023"/>
    <n v="4"/>
  </r>
  <r>
    <s v="C1873"/>
    <s v="O1873"/>
    <s v="ti-84 plus ce"/>
    <x v="0"/>
    <n v="1"/>
    <n v="130"/>
    <n v="5"/>
    <n v="125"/>
    <x v="190"/>
    <s v=" 24/9/2023"/>
    <n v="2"/>
  </r>
  <r>
    <s v="C1874"/>
    <s v="O1874"/>
    <s v="ti-84 plus ce"/>
    <x v="0"/>
    <n v="1"/>
    <n v="130"/>
    <n v="5"/>
    <n v="125"/>
    <x v="190"/>
    <s v=" 24/9/2023"/>
    <n v="4"/>
  </r>
  <r>
    <s v="C1875"/>
    <s v="O1875"/>
    <s v="ti-84 plus"/>
    <x v="0"/>
    <n v="1"/>
    <n v="125"/>
    <n v="0"/>
    <n v="125"/>
    <x v="191"/>
    <s v=" 27/9/2023"/>
    <n v="1"/>
  </r>
  <r>
    <s v="C1876"/>
    <s v="O1876"/>
    <s v="ti-84 plus"/>
    <x v="0"/>
    <n v="1"/>
    <n v="125"/>
    <n v="0"/>
    <n v="125"/>
    <x v="191"/>
    <s v=" 27/9/2023"/>
    <n v="1"/>
  </r>
  <r>
    <s v="C1877"/>
    <s v="O1877"/>
    <s v="ti-84 plus"/>
    <x v="0"/>
    <n v="1"/>
    <n v="125"/>
    <n v="0"/>
    <n v="125"/>
    <x v="191"/>
    <s v=" 27/9/2023"/>
    <n v="2"/>
  </r>
  <r>
    <s v="C1878"/>
    <s v="O1878"/>
    <s v="Ti-84 Plus C Se"/>
    <x v="0"/>
    <n v="1"/>
    <n v="160"/>
    <n v="10"/>
    <n v="150"/>
    <x v="192"/>
    <s v=" 1/10/2023"/>
    <n v="4"/>
  </r>
  <r>
    <s v="C1879"/>
    <s v="O1879"/>
    <s v="ti-84 plus ce"/>
    <x v="0"/>
    <n v="1"/>
    <n v="130"/>
    <n v="0"/>
    <n v="130"/>
    <x v="192"/>
    <s v=" 28/9/2023"/>
    <n v="4"/>
  </r>
  <r>
    <s v="C1880"/>
    <s v="O1880"/>
    <s v="Ti-84 Plus C Se"/>
    <x v="0"/>
    <n v="1"/>
    <n v="160"/>
    <n v="10"/>
    <n v="150"/>
    <x v="192"/>
    <s v=" 1/10/2023"/>
    <n v="4"/>
  </r>
  <r>
    <s v="C1881"/>
    <s v="O1881"/>
    <s v="ti-84 plus ce"/>
    <x v="0"/>
    <n v="1"/>
    <n v="130"/>
    <n v="0"/>
    <n v="130"/>
    <x v="192"/>
    <s v=" 28/9/2023"/>
    <n v="4"/>
  </r>
  <r>
    <s v="C1882"/>
    <s v="O1882"/>
    <s v="ti-84 plus ce"/>
    <x v="0"/>
    <n v="1"/>
    <n v="130"/>
    <n v="0"/>
    <n v="130"/>
    <x v="193"/>
    <s v=" 3/10/2023"/>
    <n v="1"/>
  </r>
  <r>
    <s v="C1883"/>
    <s v="O1883"/>
    <s v="TI-84 PLUS CE PYTHON"/>
    <x v="0"/>
    <n v="1"/>
    <n v="135"/>
    <n v="0"/>
    <n v="135"/>
    <x v="193"/>
    <s v=" 30/9/2023"/>
    <n v="2"/>
  </r>
  <r>
    <s v="C1884"/>
    <s v="O1884"/>
    <s v="ti-84 plus"/>
    <x v="0"/>
    <n v="1"/>
    <n v="125"/>
    <n v="5"/>
    <n v="120"/>
    <x v="193"/>
    <s v=" 2/10/2023"/>
    <n v="3"/>
  </r>
  <r>
    <s v="C1885"/>
    <s v="O1885"/>
    <s v="ti-84 plus ce"/>
    <x v="0"/>
    <n v="1"/>
    <n v="130"/>
    <n v="0"/>
    <n v="130"/>
    <x v="193"/>
    <s v=" 3/10/2023"/>
    <n v="3"/>
  </r>
  <r>
    <s v="C1886"/>
    <s v="O1886"/>
    <s v="TI-84 PLUS CE PYTHON"/>
    <x v="0"/>
    <n v="1"/>
    <n v="135"/>
    <n v="0"/>
    <n v="135"/>
    <x v="193"/>
    <s v=" 30/9/2023"/>
    <n v="1"/>
  </r>
  <r>
    <s v="C1887"/>
    <s v="O1887"/>
    <s v="ti-84 plus"/>
    <x v="0"/>
    <n v="1"/>
    <n v="125"/>
    <n v="5"/>
    <n v="120"/>
    <x v="193"/>
    <s v=" 2/10/2023"/>
    <n v="2"/>
  </r>
  <r>
    <s v="C1888"/>
    <s v="O1888"/>
    <s v="ti-84 plus ce"/>
    <x v="0"/>
    <n v="1"/>
    <n v="130"/>
    <n v="0"/>
    <n v="130"/>
    <x v="193"/>
    <s v=" 3/10/2023"/>
    <n v="3"/>
  </r>
  <r>
    <s v="C1889"/>
    <s v="O1889"/>
    <s v="ti-nspire cx"/>
    <x v="0"/>
    <n v="1"/>
    <n v="190"/>
    <n v="0"/>
    <n v="190"/>
    <x v="194"/>
    <s v=" 29/9/2023"/>
    <n v="1"/>
  </r>
  <r>
    <s v="C1890"/>
    <s v="O1890"/>
    <s v="ti-nspire cx"/>
    <x v="0"/>
    <n v="1"/>
    <n v="190"/>
    <n v="0"/>
    <n v="190"/>
    <x v="194"/>
    <s v=" 29/9/2023"/>
    <n v="4"/>
  </r>
  <r>
    <s v="C1891"/>
    <s v="O1891"/>
    <s v="TI-84 PLUS CE PYTHON"/>
    <x v="0"/>
    <n v="2"/>
    <n v="135"/>
    <n v="5"/>
    <n v="265"/>
    <x v="195"/>
    <s v=" 5/10/2023"/>
    <n v="1"/>
  </r>
  <r>
    <s v="C1892"/>
    <s v="O1892"/>
    <s v="TI-84 PLUS CE PYTHON"/>
    <x v="0"/>
    <n v="2"/>
    <n v="135"/>
    <n v="5"/>
    <n v="265"/>
    <x v="195"/>
    <s v=" 5/10/2023"/>
    <n v="4"/>
  </r>
  <r>
    <s v="C1893"/>
    <s v="O1893"/>
    <s v="TI-84 PLUS CE PYTHON"/>
    <x v="0"/>
    <n v="2"/>
    <n v="135"/>
    <n v="5"/>
    <n v="265"/>
    <x v="195"/>
    <s v=" 5/10/2023"/>
    <n v="2"/>
  </r>
  <r>
    <s v="C1894"/>
    <s v="O1894"/>
    <s v="Ti-nspire CX II"/>
    <x v="0"/>
    <n v="1"/>
    <n v="210"/>
    <n v="0"/>
    <n v="210"/>
    <x v="196"/>
    <s v=" 3/10/2023"/>
    <n v="3"/>
  </r>
  <r>
    <s v="C1895"/>
    <s v="O1895"/>
    <s v="Ti-nspire CX II"/>
    <x v="0"/>
    <n v="1"/>
    <n v="210"/>
    <n v="0"/>
    <n v="210"/>
    <x v="196"/>
    <s v=" 3/10/2023"/>
    <n v="2"/>
  </r>
  <r>
    <s v="C1896"/>
    <s v="O1896"/>
    <s v="Ti-nspire CX II"/>
    <x v="0"/>
    <n v="1"/>
    <n v="210"/>
    <n v="0"/>
    <n v="210"/>
    <x v="196"/>
    <s v=" 3/10/2023"/>
    <n v="4"/>
  </r>
  <r>
    <s v="C1897"/>
    <s v="O1897"/>
    <s v="ti-84 plus ce"/>
    <x v="0"/>
    <n v="1"/>
    <n v="130"/>
    <n v="0"/>
    <n v="130"/>
    <x v="197"/>
    <s v=" 5/10/2023"/>
    <n v="1"/>
  </r>
  <r>
    <s v="C1898"/>
    <s v="O1898"/>
    <s v="TI-NSPIRE CX CAS"/>
    <x v="1"/>
    <n v="3"/>
    <n v="200"/>
    <n v="5"/>
    <n v="595"/>
    <x v="197"/>
    <s v=" 3/10/2023"/>
    <n v="3"/>
  </r>
  <r>
    <s v="C1899"/>
    <s v="O1899"/>
    <s v="ti-84 plus ce"/>
    <x v="0"/>
    <n v="1"/>
    <n v="130"/>
    <n v="0"/>
    <n v="130"/>
    <x v="197"/>
    <s v=" 5/10/2023"/>
    <n v="1"/>
  </r>
  <r>
    <s v="C1900"/>
    <s v="O1900"/>
    <s v="TI-NSPIRE CX CAS"/>
    <x v="1"/>
    <n v="3"/>
    <n v="200"/>
    <n v="5"/>
    <n v="595"/>
    <x v="197"/>
    <s v=" 3/10/2023"/>
    <n v="4"/>
  </r>
  <r>
    <s v="C1901"/>
    <s v="O1901"/>
    <s v="ti-84 plus ce"/>
    <x v="0"/>
    <n v="1"/>
    <n v="130"/>
    <n v="0"/>
    <n v="130"/>
    <x v="198"/>
    <s v=" 3/10/2023"/>
    <n v="3"/>
  </r>
  <r>
    <s v="C1902"/>
    <s v="O1902"/>
    <s v="ti-84 plus ce"/>
    <x v="0"/>
    <n v="1"/>
    <n v="130"/>
    <n v="0"/>
    <n v="130"/>
    <x v="198"/>
    <s v=" 3/10/2023"/>
    <n v="4"/>
  </r>
  <r>
    <s v="C1903"/>
    <s v="O1903"/>
    <s v="ti-84 plus ce"/>
    <x v="0"/>
    <n v="1"/>
    <n v="130"/>
    <n v="0"/>
    <n v="130"/>
    <x v="198"/>
    <s v=" 3/10/2023"/>
    <n v="2"/>
  </r>
  <r>
    <s v="C1904"/>
    <s v="O1904"/>
    <s v="Ti-84 Plus C Se"/>
    <x v="0"/>
    <n v="1"/>
    <n v="160"/>
    <n v="0"/>
    <n v="160"/>
    <x v="199"/>
    <s v=" 5/10/2023"/>
    <n v="4"/>
  </r>
  <r>
    <s v="C1905"/>
    <s v="O1905"/>
    <s v="ti-nspire cx"/>
    <x v="0"/>
    <n v="1"/>
    <n v="190"/>
    <n v="0"/>
    <n v="190"/>
    <x v="199"/>
    <s v=" 6/10/2023"/>
    <n v="4"/>
  </r>
  <r>
    <s v="C1906"/>
    <s v="O1906"/>
    <s v="Ti-84 Plus C Se"/>
    <x v="0"/>
    <n v="1"/>
    <n v="160"/>
    <n v="0"/>
    <n v="160"/>
    <x v="199"/>
    <s v=" 5/10/2023"/>
    <n v="4"/>
  </r>
  <r>
    <s v="C1907"/>
    <s v="O1907"/>
    <s v="ti-nspire cx"/>
    <x v="0"/>
    <n v="1"/>
    <n v="190"/>
    <n v="0"/>
    <n v="190"/>
    <x v="199"/>
    <s v=" 6/10/2023"/>
    <n v="2"/>
  </r>
  <r>
    <s v="C1908"/>
    <s v="O1908"/>
    <s v="Ti-84 Plus C Se"/>
    <x v="0"/>
    <n v="1"/>
    <n v="160"/>
    <n v="0"/>
    <n v="160"/>
    <x v="199"/>
    <s v=" 5/10/2023"/>
    <n v="3"/>
  </r>
  <r>
    <s v="C1909"/>
    <s v="O1909"/>
    <s v="ti-nspire cx"/>
    <x v="0"/>
    <n v="1"/>
    <n v="190"/>
    <n v="0"/>
    <n v="190"/>
    <x v="199"/>
    <s v=" 6/10/2023"/>
    <n v="2"/>
  </r>
  <r>
    <s v="C1910"/>
    <s v="O1910"/>
    <s v="TI-84 PLUS CE PYTHON"/>
    <x v="0"/>
    <n v="2"/>
    <n v="135"/>
    <n v="0"/>
    <n v="270"/>
    <x v="200"/>
    <s v=" 6/10/2023"/>
    <n v="3"/>
  </r>
  <r>
    <s v="C1911"/>
    <s v="O1911"/>
    <s v="TI-84 PLUS CE PYTHON"/>
    <x v="0"/>
    <n v="2"/>
    <n v="135"/>
    <n v="0"/>
    <n v="270"/>
    <x v="200"/>
    <s v=" 6/10/2023"/>
    <n v="4"/>
  </r>
  <r>
    <s v="C1912"/>
    <s v="O1912"/>
    <s v="TI-84 PLUS CE PYTHON"/>
    <x v="0"/>
    <n v="2"/>
    <n v="135"/>
    <n v="0"/>
    <n v="270"/>
    <x v="200"/>
    <s v=" 6/10/2023"/>
    <n v="2"/>
  </r>
  <r>
    <s v="C1913"/>
    <s v="O1913"/>
    <s v="ti-84 plus ce"/>
    <x v="0"/>
    <n v="1"/>
    <n v="130"/>
    <n v="5"/>
    <n v="125"/>
    <x v="201"/>
    <s v=" 6/10/2023"/>
    <n v="1"/>
  </r>
  <r>
    <s v="C1914"/>
    <s v="O1914"/>
    <s v="ti-84 plus ce"/>
    <x v="0"/>
    <n v="1"/>
    <n v="130"/>
    <n v="0"/>
    <n v="130"/>
    <x v="201"/>
    <s v=" 8/10/2023"/>
    <n v="2"/>
  </r>
  <r>
    <s v="C1915"/>
    <s v="O1915"/>
    <s v="ti-84 plus ce"/>
    <x v="0"/>
    <n v="1"/>
    <n v="130"/>
    <n v="5"/>
    <n v="125"/>
    <x v="201"/>
    <s v=" 6/10/2023"/>
    <n v="1"/>
  </r>
  <r>
    <s v="C1916"/>
    <s v="O1916"/>
    <s v="ti-84 plus ce"/>
    <x v="0"/>
    <n v="1"/>
    <n v="130"/>
    <n v="0"/>
    <n v="130"/>
    <x v="201"/>
    <s v=" 8/10/2023"/>
    <n v="1"/>
  </r>
  <r>
    <s v="C1917"/>
    <s v="O1917"/>
    <s v="TI-84 PLUS CE PYTHON"/>
    <x v="0"/>
    <n v="2"/>
    <n v="135"/>
    <n v="0"/>
    <n v="270"/>
    <x v="202"/>
    <s v=" 12/10/2023"/>
    <n v="4"/>
  </r>
  <r>
    <s v="C1918"/>
    <s v="O1918"/>
    <s v="TI-83 plus"/>
    <x v="0"/>
    <n v="1"/>
    <n v="85"/>
    <n v="0"/>
    <n v="85"/>
    <x v="202"/>
    <s v=" 8/10/2023"/>
    <n v="3"/>
  </r>
  <r>
    <s v="C1919"/>
    <s v="O1919"/>
    <s v="TI-84 PLUS CE PYTHON"/>
    <x v="0"/>
    <n v="2"/>
    <n v="135"/>
    <n v="0"/>
    <n v="270"/>
    <x v="202"/>
    <s v=" 12/10/2023"/>
    <n v="4"/>
  </r>
  <r>
    <s v="C1920"/>
    <s v="O1920"/>
    <s v="TI-83 plus"/>
    <x v="0"/>
    <n v="1"/>
    <n v="85"/>
    <n v="0"/>
    <n v="85"/>
    <x v="202"/>
    <s v=" 8/10/2023"/>
    <n v="2"/>
  </r>
  <r>
    <s v="C1921"/>
    <s v="O1921"/>
    <s v="TI-84 PLUS CE PYTHON"/>
    <x v="0"/>
    <n v="2"/>
    <n v="135"/>
    <n v="0"/>
    <n v="270"/>
    <x v="202"/>
    <s v=" 12/10/2023"/>
    <n v="4"/>
  </r>
  <r>
    <s v="C1922"/>
    <s v="O1922"/>
    <s v="TI-NSPIRE CX CAS"/>
    <x v="1"/>
    <n v="2"/>
    <n v="200"/>
    <n v="0"/>
    <n v="400"/>
    <x v="203"/>
    <s v=" 13/10/2023"/>
    <n v="4"/>
  </r>
  <r>
    <s v="C1923"/>
    <s v="O1923"/>
    <s v="TI-NSPIRE CX CAS"/>
    <x v="1"/>
    <n v="2"/>
    <n v="200"/>
    <n v="0"/>
    <n v="400"/>
    <x v="203"/>
    <s v=" 13/10/2023"/>
    <n v="3"/>
  </r>
  <r>
    <s v="C1924"/>
    <s v="O1924"/>
    <s v="TI-84 PLUS CE PYTHON"/>
    <x v="0"/>
    <n v="1"/>
    <n v="135"/>
    <n v="0"/>
    <n v="135"/>
    <x v="204"/>
    <s v=" 14/10/2023"/>
    <n v="1"/>
  </r>
  <r>
    <s v="C1925"/>
    <s v="O1925"/>
    <s v="TI-84 PLUS CE PYTHON"/>
    <x v="0"/>
    <n v="1"/>
    <n v="135"/>
    <n v="0"/>
    <n v="135"/>
    <x v="204"/>
    <s v=" 14/10/2023"/>
    <n v="1"/>
  </r>
  <r>
    <s v="C1926"/>
    <s v="O1926"/>
    <s v="TI-84 PLUS CE PYTHON"/>
    <x v="0"/>
    <n v="1"/>
    <n v="135"/>
    <n v="5"/>
    <n v="130"/>
    <x v="205"/>
    <s v=" 16/10/2023"/>
    <n v="4"/>
  </r>
  <r>
    <s v="C1927"/>
    <s v="O1927"/>
    <s v="TI-84 PLUS CE PYTHON"/>
    <x v="0"/>
    <n v="1"/>
    <n v="135"/>
    <n v="5"/>
    <n v="130"/>
    <x v="205"/>
    <s v=" 16/10/2023"/>
    <n v="2"/>
  </r>
  <r>
    <s v="C1928"/>
    <s v="O1928"/>
    <s v="TI-84 PLUS CE PYTHON"/>
    <x v="0"/>
    <n v="1"/>
    <n v="135"/>
    <n v="5"/>
    <n v="130"/>
    <x v="205"/>
    <s v=" 16/10/2023"/>
    <n v="4"/>
  </r>
  <r>
    <s v="C1929"/>
    <s v="O1929"/>
    <s v="TI-NSPIRE CX CAS"/>
    <x v="1"/>
    <n v="1"/>
    <n v="200"/>
    <n v="10"/>
    <n v="190"/>
    <x v="206"/>
    <s v=" 16/10/2023"/>
    <n v="2"/>
  </r>
  <r>
    <s v="C1930"/>
    <s v="O1930"/>
    <s v="TI-NSPIRE CX CAS"/>
    <x v="1"/>
    <n v="1"/>
    <n v="200"/>
    <n v="10"/>
    <n v="190"/>
    <x v="206"/>
    <s v=" 16/10/2023"/>
    <n v="3"/>
  </r>
  <r>
    <s v="C1931"/>
    <s v="O1931"/>
    <s v="TI-84 PLUS CE PYTHON"/>
    <x v="0"/>
    <n v="2"/>
    <n v="135"/>
    <n v="0"/>
    <n v="270"/>
    <x v="207"/>
    <s v=" 20/10/2023"/>
    <n v="2"/>
  </r>
  <r>
    <s v="C1932"/>
    <s v="O1932"/>
    <s v="ti-84 plus ce"/>
    <x v="0"/>
    <n v="3"/>
    <n v="130"/>
    <n v="0"/>
    <n v="390"/>
    <x v="207"/>
    <s v=" 20/10/2023"/>
    <n v="1"/>
  </r>
  <r>
    <s v="C1933"/>
    <s v="O1933"/>
    <s v="TI-84 PLUS CE PYTHON"/>
    <x v="0"/>
    <n v="2"/>
    <n v="135"/>
    <n v="0"/>
    <n v="270"/>
    <x v="207"/>
    <s v=" 20/10/2023"/>
    <n v="4"/>
  </r>
  <r>
    <s v="C1934"/>
    <s v="O1934"/>
    <s v="ti-84 plus ce"/>
    <x v="0"/>
    <n v="3"/>
    <n v="130"/>
    <n v="0"/>
    <n v="390"/>
    <x v="207"/>
    <s v=" 20/10/2023"/>
    <n v="4"/>
  </r>
  <r>
    <s v="C1935"/>
    <s v="O1935"/>
    <s v="ti-84 plus ce"/>
    <x v="0"/>
    <n v="3"/>
    <n v="130"/>
    <n v="0"/>
    <n v="390"/>
    <x v="207"/>
    <s v=" 20/10/2023"/>
    <n v="4"/>
  </r>
  <r>
    <s v="C1936"/>
    <s v="O1936"/>
    <s v="TI-83 plus"/>
    <x v="0"/>
    <n v="1"/>
    <n v="85"/>
    <n v="10"/>
    <n v="75"/>
    <x v="208"/>
    <s v=" 21/10/2023"/>
    <n v="2"/>
  </r>
  <r>
    <s v="C1937"/>
    <s v="O1937"/>
    <s v="TI-83 plus"/>
    <x v="0"/>
    <n v="1"/>
    <n v="85"/>
    <n v="10"/>
    <n v="75"/>
    <x v="208"/>
    <s v=" 21/10/2023"/>
    <n v="3"/>
  </r>
  <r>
    <s v="C1938"/>
    <s v="O1938"/>
    <s v="ti-nspire cx"/>
    <x v="0"/>
    <n v="1"/>
    <n v="190"/>
    <n v="0"/>
    <n v="190"/>
    <x v="209"/>
    <s v=" 21/10/2023"/>
    <n v="2"/>
  </r>
  <r>
    <s v="C1939"/>
    <s v="O1939"/>
    <s v="ti-nspire cx"/>
    <x v="0"/>
    <n v="1"/>
    <n v="190"/>
    <n v="0"/>
    <n v="190"/>
    <x v="209"/>
    <s v=" 21/10/2023"/>
    <n v="1"/>
  </r>
  <r>
    <s v="C1940"/>
    <s v="O1940"/>
    <s v="ti-84 plus"/>
    <x v="0"/>
    <n v="1"/>
    <n v="125"/>
    <n v="0"/>
    <n v="125"/>
    <x v="210"/>
    <s v=" 25/10/2023"/>
    <n v="3"/>
  </r>
  <r>
    <s v="C1941"/>
    <s v="O1941"/>
    <s v="ti-84 plus"/>
    <x v="0"/>
    <n v="1"/>
    <n v="125"/>
    <n v="0"/>
    <n v="125"/>
    <x v="210"/>
    <s v=" 25/10/2023"/>
    <n v="4"/>
  </r>
  <r>
    <s v="C1942"/>
    <s v="O1942"/>
    <s v="ti-84 plus"/>
    <x v="0"/>
    <n v="1"/>
    <n v="125"/>
    <n v="0"/>
    <n v="125"/>
    <x v="210"/>
    <s v=" 25/10/2023"/>
    <n v="1"/>
  </r>
  <r>
    <s v="C1943"/>
    <s v="O1943"/>
    <s v="ti-84 plus ce"/>
    <x v="0"/>
    <n v="1"/>
    <n v="130"/>
    <n v="0"/>
    <n v="130"/>
    <x v="211"/>
    <s v=" 22/10/2023"/>
    <n v="2"/>
  </r>
  <r>
    <s v="C1944"/>
    <s v="O1944"/>
    <s v="ti-84 plus ce"/>
    <x v="0"/>
    <n v="1"/>
    <n v="130"/>
    <n v="5"/>
    <n v="125"/>
    <x v="211"/>
    <s v=" 25/10/2023"/>
    <n v="3"/>
  </r>
  <r>
    <s v="C1945"/>
    <s v="O1945"/>
    <s v="ti-84 plus ce"/>
    <x v="0"/>
    <n v="1"/>
    <n v="130"/>
    <n v="0"/>
    <n v="130"/>
    <x v="211"/>
    <s v=" 22/10/2023"/>
    <n v="4"/>
  </r>
  <r>
    <s v="C1946"/>
    <s v="O1946"/>
    <s v="ti-84 plus ce"/>
    <x v="0"/>
    <n v="1"/>
    <n v="130"/>
    <n v="5"/>
    <n v="125"/>
    <x v="211"/>
    <s v=" 25/10/2023"/>
    <n v="1"/>
  </r>
  <r>
    <s v="C1947"/>
    <s v="O1947"/>
    <s v="ti-84 plus ce"/>
    <x v="0"/>
    <n v="1"/>
    <n v="130"/>
    <n v="0"/>
    <n v="130"/>
    <x v="212"/>
    <s v=" 26/10/2023"/>
    <n v="4"/>
  </r>
  <r>
    <s v="C1948"/>
    <s v="O1948"/>
    <s v="ti-84 plus ce"/>
    <x v="0"/>
    <n v="1"/>
    <n v="130"/>
    <n v="5"/>
    <n v="125"/>
    <x v="212"/>
    <s v=" 23/10/2023"/>
    <n v="1"/>
  </r>
  <r>
    <s v="C1949"/>
    <s v="O1949"/>
    <s v="ti-84 plus ce"/>
    <x v="0"/>
    <n v="1"/>
    <n v="130"/>
    <n v="10"/>
    <n v="120"/>
    <x v="212"/>
    <s v=" 24/10/2023"/>
    <n v="2"/>
  </r>
  <r>
    <s v="C1950"/>
    <s v="O1950"/>
    <s v="ti-84 plus ce"/>
    <x v="0"/>
    <n v="1"/>
    <n v="130"/>
    <n v="0"/>
    <n v="130"/>
    <x v="212"/>
    <s v=" 26/10/2023"/>
    <n v="1"/>
  </r>
  <r>
    <s v="C1951"/>
    <s v="O1951"/>
    <s v="ti-84 plus ce"/>
    <x v="0"/>
    <n v="1"/>
    <n v="130"/>
    <n v="5"/>
    <n v="125"/>
    <x v="212"/>
    <s v=" 23/10/2023"/>
    <n v="2"/>
  </r>
  <r>
    <s v="C1952"/>
    <s v="O1952"/>
    <s v="ti-84 plus ce"/>
    <x v="0"/>
    <n v="1"/>
    <n v="130"/>
    <n v="10"/>
    <n v="120"/>
    <x v="212"/>
    <s v=" 24/10/2023"/>
    <n v="1"/>
  </r>
  <r>
    <s v="C1953"/>
    <s v="O1953"/>
    <s v="ti-84 plus ce"/>
    <x v="0"/>
    <n v="1"/>
    <n v="130"/>
    <n v="10"/>
    <n v="120"/>
    <x v="212"/>
    <s v=" 24/10/2023"/>
    <n v="1"/>
  </r>
  <r>
    <s v="C1954"/>
    <s v="O1954"/>
    <s v="ti-nspire cx"/>
    <x v="0"/>
    <n v="1"/>
    <n v="190"/>
    <n v="5"/>
    <n v="185"/>
    <x v="213"/>
    <s v=" 25/10/2023"/>
    <n v="1"/>
  </r>
  <r>
    <s v="C1955"/>
    <s v="O1955"/>
    <s v="ti-nspire cx"/>
    <x v="0"/>
    <n v="1"/>
    <n v="190"/>
    <n v="0"/>
    <n v="190"/>
    <x v="213"/>
    <s v=" 28/10/2023"/>
    <n v="1"/>
  </r>
  <r>
    <s v="C1956"/>
    <s v="O1956"/>
    <s v="ti-nspire cx"/>
    <x v="0"/>
    <n v="1"/>
    <n v="190"/>
    <n v="5"/>
    <n v="185"/>
    <x v="213"/>
    <s v=" 25/10/2023"/>
    <n v="4"/>
  </r>
  <r>
    <s v="C1957"/>
    <s v="O1957"/>
    <s v="ti-nspire cx"/>
    <x v="0"/>
    <n v="1"/>
    <n v="190"/>
    <n v="0"/>
    <n v="190"/>
    <x v="213"/>
    <s v=" 28/10/2023"/>
    <n v="4"/>
  </r>
  <r>
    <s v="C1958"/>
    <s v="O1958"/>
    <s v="ti-nspire cx"/>
    <x v="0"/>
    <n v="1"/>
    <n v="190"/>
    <n v="0"/>
    <n v="190"/>
    <x v="213"/>
    <s v=" 28/10/2023"/>
    <n v="1"/>
  </r>
  <r>
    <s v="C1959"/>
    <s v="O1959"/>
    <s v="ti-84 plus ce"/>
    <x v="0"/>
    <n v="1"/>
    <n v="130"/>
    <n v="5"/>
    <n v="125"/>
    <x v="214"/>
    <s v=" 28/10/2023"/>
    <n v="1"/>
  </r>
  <r>
    <s v="C1960"/>
    <s v="O1960"/>
    <s v="ti-nspire cx"/>
    <x v="0"/>
    <n v="2"/>
    <n v="190"/>
    <n v="5"/>
    <n v="375"/>
    <x v="214"/>
    <s v=" 28/10/2023"/>
    <n v="3"/>
  </r>
  <r>
    <s v="C1961"/>
    <s v="O1961"/>
    <s v="Ti-nspire CX II"/>
    <x v="0"/>
    <n v="1"/>
    <n v="210"/>
    <n v="10"/>
    <n v="200"/>
    <x v="214"/>
    <s v=" 31/10/2023"/>
    <n v="3"/>
  </r>
  <r>
    <s v="C1962"/>
    <s v="O1962"/>
    <s v="TI-83 plus"/>
    <x v="0"/>
    <n v="3"/>
    <n v="85"/>
    <n v="0"/>
    <n v="255"/>
    <x v="214"/>
    <s v=" 30/10/2023"/>
    <n v="3"/>
  </r>
  <r>
    <s v="C1963"/>
    <s v="O1963"/>
    <s v="ti-84 plus ce"/>
    <x v="0"/>
    <n v="1"/>
    <n v="130"/>
    <n v="5"/>
    <n v="125"/>
    <x v="214"/>
    <s v=" 28/10/2023"/>
    <n v="2"/>
  </r>
  <r>
    <s v="C1964"/>
    <s v="O1964"/>
    <s v="ti-nspire cx"/>
    <x v="0"/>
    <n v="2"/>
    <n v="190"/>
    <n v="5"/>
    <n v="375"/>
    <x v="214"/>
    <s v=" 28/10/2023"/>
    <n v="3"/>
  </r>
  <r>
    <s v="C1965"/>
    <s v="O1965"/>
    <s v="Ti-nspire CX II"/>
    <x v="0"/>
    <n v="1"/>
    <n v="210"/>
    <n v="10"/>
    <n v="200"/>
    <x v="214"/>
    <s v=" 31/10/2023"/>
    <n v="4"/>
  </r>
  <r>
    <s v="C1966"/>
    <s v="O1966"/>
    <s v="TI-83 plus"/>
    <x v="0"/>
    <n v="3"/>
    <n v="85"/>
    <n v="0"/>
    <n v="255"/>
    <x v="214"/>
    <s v=" 30/10/2023"/>
    <n v="4"/>
  </r>
  <r>
    <s v="C1967"/>
    <s v="O1967"/>
    <s v="Ti-nspire CX II"/>
    <x v="0"/>
    <n v="1"/>
    <n v="210"/>
    <n v="10"/>
    <n v="200"/>
    <x v="214"/>
    <s v=" 31/10/2023"/>
    <n v="2"/>
  </r>
  <r>
    <s v="C1968"/>
    <s v="O1968"/>
    <s v="TI-83 plus"/>
    <x v="0"/>
    <n v="3"/>
    <n v="85"/>
    <n v="0"/>
    <n v="255"/>
    <x v="214"/>
    <s v=" 30/10/2023"/>
    <n v="1"/>
  </r>
  <r>
    <s v="C1969"/>
    <s v="O1969"/>
    <s v="Ti-84 Plus C Se"/>
    <x v="0"/>
    <n v="1"/>
    <n v="160"/>
    <n v="0"/>
    <n v="160"/>
    <x v="215"/>
    <s v=" 1/11/2023"/>
    <n v="4"/>
  </r>
  <r>
    <s v="C1970"/>
    <s v="O1970"/>
    <s v="TI-84 PLUS CE PYTHON"/>
    <x v="0"/>
    <n v="1"/>
    <n v="135"/>
    <n v="0"/>
    <n v="135"/>
    <x v="215"/>
    <s v=" 29/10/2023"/>
    <n v="2"/>
  </r>
  <r>
    <s v="C1971"/>
    <s v="O1971"/>
    <s v="Ti-84 Plus C Se"/>
    <x v="0"/>
    <n v="1"/>
    <n v="160"/>
    <n v="0"/>
    <n v="160"/>
    <x v="215"/>
    <s v=" 1/11/2023"/>
    <n v="2"/>
  </r>
  <r>
    <s v="C1972"/>
    <s v="O1972"/>
    <s v="TI-84 PLUS CE PYTHON"/>
    <x v="0"/>
    <n v="1"/>
    <n v="135"/>
    <n v="0"/>
    <n v="135"/>
    <x v="215"/>
    <s v=" 29/10/2023"/>
    <n v="4"/>
  </r>
  <r>
    <s v="C1973"/>
    <s v="O1973"/>
    <s v="Ti-84 Plus C Se"/>
    <x v="0"/>
    <n v="1"/>
    <n v="160"/>
    <n v="0"/>
    <n v="160"/>
    <x v="215"/>
    <s v=" 1/11/2023"/>
    <n v="1"/>
  </r>
  <r>
    <s v="C1974"/>
    <s v="O1974"/>
    <s v="ti-84 plus ce"/>
    <x v="0"/>
    <n v="3"/>
    <n v="130"/>
    <n v="0"/>
    <n v="390"/>
    <x v="216"/>
    <s v=" 31/10/2023"/>
    <n v="3"/>
  </r>
  <r>
    <s v="C1975"/>
    <s v="O1975"/>
    <s v="TI-84 PLUS CE PYTHON"/>
    <x v="0"/>
    <n v="1"/>
    <n v="135"/>
    <n v="10"/>
    <n v="125"/>
    <x v="216"/>
    <s v=" 1/11/2023"/>
    <n v="2"/>
  </r>
  <r>
    <s v="C1976"/>
    <s v="O1976"/>
    <s v="ti-84 plus ce"/>
    <x v="0"/>
    <n v="3"/>
    <n v="130"/>
    <n v="0"/>
    <n v="390"/>
    <x v="216"/>
    <s v=" 31/10/2023"/>
    <n v="4"/>
  </r>
  <r>
    <s v="C1977"/>
    <s v="O1977"/>
    <s v="TI-84 PLUS CE PYTHON"/>
    <x v="0"/>
    <n v="1"/>
    <n v="135"/>
    <n v="10"/>
    <n v="125"/>
    <x v="216"/>
    <s v=" 1/11/2023"/>
    <n v="4"/>
  </r>
  <r>
    <s v="C1978"/>
    <s v="O1978"/>
    <s v="TI-84 PLUS CE PYTHON"/>
    <x v="0"/>
    <n v="1"/>
    <n v="135"/>
    <n v="0"/>
    <n v="135"/>
    <x v="217"/>
    <s v=" 2/11/2023"/>
    <n v="4"/>
  </r>
  <r>
    <s v="C1979"/>
    <s v="O1979"/>
    <s v="TI-84 PLUS CE PYTHON"/>
    <x v="0"/>
    <n v="3"/>
    <n v="135"/>
    <n v="5"/>
    <n v="400"/>
    <x v="217"/>
    <s v=" 3/11/2023"/>
    <n v="3"/>
  </r>
  <r>
    <s v="C1980"/>
    <s v="O1980"/>
    <s v="ti-84 plus ce"/>
    <x v="0"/>
    <n v="1"/>
    <n v="130"/>
    <n v="0"/>
    <n v="130"/>
    <x v="217"/>
    <s v=" 2/11/2023"/>
    <n v="3"/>
  </r>
  <r>
    <s v="C1981"/>
    <s v="O1981"/>
    <s v="TI-84 PLUS CE PYTHON"/>
    <x v="0"/>
    <n v="1"/>
    <n v="135"/>
    <n v="0"/>
    <n v="135"/>
    <x v="217"/>
    <s v=" 2/11/2023"/>
    <n v="4"/>
  </r>
  <r>
    <s v="C1982"/>
    <s v="O1982"/>
    <s v="TI-84 PLUS CE PYTHON"/>
    <x v="0"/>
    <n v="3"/>
    <n v="135"/>
    <n v="5"/>
    <n v="400"/>
    <x v="217"/>
    <s v=" 3/11/2023"/>
    <n v="1"/>
  </r>
  <r>
    <s v="C1983"/>
    <s v="O1983"/>
    <s v="ti-84 plus ce"/>
    <x v="0"/>
    <n v="1"/>
    <n v="130"/>
    <n v="0"/>
    <n v="130"/>
    <x v="217"/>
    <s v=" 2/11/2023"/>
    <n v="2"/>
  </r>
  <r>
    <s v="C1984"/>
    <s v="O1984"/>
    <s v="TI-84 PLUS CE PYTHON"/>
    <x v="0"/>
    <n v="3"/>
    <n v="135"/>
    <n v="5"/>
    <n v="400"/>
    <x v="217"/>
    <s v=" 3/11/2023"/>
    <n v="2"/>
  </r>
  <r>
    <s v="C1985"/>
    <s v="O1985"/>
    <s v="ti-84 plus ce"/>
    <x v="0"/>
    <n v="2"/>
    <n v="130"/>
    <n v="0"/>
    <n v="260"/>
    <x v="218"/>
    <s v=" 3/11/2023"/>
    <n v="1"/>
  </r>
  <r>
    <s v="C1986"/>
    <s v="O1986"/>
    <s v="TI-83 plus"/>
    <x v="0"/>
    <n v="1"/>
    <n v="85"/>
    <n v="0"/>
    <n v="85"/>
    <x v="218"/>
    <s v=" 5/11/2023"/>
    <n v="3"/>
  </r>
  <r>
    <s v="C1987"/>
    <s v="O1987"/>
    <s v="ti-84 plus"/>
    <x v="0"/>
    <n v="1"/>
    <n v="125"/>
    <n v="0"/>
    <n v="125"/>
    <x v="218"/>
    <s v=" 3/11/2023"/>
    <n v="3"/>
  </r>
  <r>
    <s v="C1988"/>
    <s v="O1988"/>
    <s v="ti-84 plus ce"/>
    <x v="0"/>
    <n v="1"/>
    <n v="130"/>
    <n v="5"/>
    <n v="125"/>
    <x v="218"/>
    <s v=" 1/11/2023"/>
    <n v="3"/>
  </r>
  <r>
    <s v="C1989"/>
    <s v="O1989"/>
    <s v="ti-84 plus ce"/>
    <x v="0"/>
    <n v="2"/>
    <n v="130"/>
    <n v="0"/>
    <n v="260"/>
    <x v="218"/>
    <s v=" 3/11/2023"/>
    <n v="2"/>
  </r>
  <r>
    <s v="C1990"/>
    <s v="O1990"/>
    <s v="TI-83 plus"/>
    <x v="0"/>
    <n v="1"/>
    <n v="85"/>
    <n v="0"/>
    <n v="85"/>
    <x v="218"/>
    <s v=" 5/11/2023"/>
    <n v="1"/>
  </r>
  <r>
    <s v="C1991"/>
    <s v="O1991"/>
    <s v="ti-84 plus"/>
    <x v="0"/>
    <n v="1"/>
    <n v="125"/>
    <n v="0"/>
    <n v="125"/>
    <x v="218"/>
    <s v=" 3/11/2023"/>
    <n v="3"/>
  </r>
  <r>
    <s v="C1992"/>
    <s v="O1992"/>
    <s v="ti-84 plus ce"/>
    <x v="0"/>
    <n v="1"/>
    <n v="130"/>
    <n v="5"/>
    <n v="125"/>
    <x v="218"/>
    <s v=" 1/11/2023"/>
    <n v="3"/>
  </r>
  <r>
    <s v="C1993"/>
    <s v="O1993"/>
    <s v="ti-84 plus ce"/>
    <x v="0"/>
    <n v="2"/>
    <n v="130"/>
    <n v="0"/>
    <n v="260"/>
    <x v="218"/>
    <s v=" 3/11/2023"/>
    <n v="4"/>
  </r>
  <r>
    <s v="C1994"/>
    <s v="O1994"/>
    <s v="ti-84 plus ce"/>
    <x v="0"/>
    <n v="2"/>
    <n v="130"/>
    <n v="0"/>
    <n v="260"/>
    <x v="219"/>
    <s v=" 7/11/2023"/>
    <n v="1"/>
  </r>
  <r>
    <s v="C1995"/>
    <s v="O1995"/>
    <s v="ti-84 plus ce"/>
    <x v="0"/>
    <n v="2"/>
    <n v="130"/>
    <n v="0"/>
    <n v="260"/>
    <x v="219"/>
    <s v=" 7/11/2023"/>
    <n v="1"/>
  </r>
  <r>
    <s v="C1996"/>
    <s v="O1996"/>
    <s v="ti-nspire CX II Cas"/>
    <x v="1"/>
    <n v="2"/>
    <n v="215"/>
    <n v="0"/>
    <n v="430"/>
    <x v="220"/>
    <s v=" 11/11/2023"/>
    <n v="2"/>
  </r>
  <r>
    <s v="C1997"/>
    <s v="O1997"/>
    <s v="TI-84 PLUS CE PYTHON"/>
    <x v="0"/>
    <n v="1"/>
    <n v="135"/>
    <n v="0"/>
    <n v="135"/>
    <x v="220"/>
    <s v=" 10/11/2023"/>
    <n v="1"/>
  </r>
  <r>
    <s v="C1998"/>
    <s v="O1998"/>
    <s v="ti-84 plus ce"/>
    <x v="0"/>
    <n v="1"/>
    <n v="130"/>
    <n v="0"/>
    <n v="130"/>
    <x v="220"/>
    <s v=" 11/11/2023"/>
    <n v="3"/>
  </r>
  <r>
    <s v="C1999"/>
    <s v="O1999"/>
    <s v="ti-nspire CX II Cas"/>
    <x v="1"/>
    <n v="2"/>
    <n v="215"/>
    <n v="0"/>
    <n v="430"/>
    <x v="220"/>
    <s v=" 11/11/2023"/>
    <n v="3"/>
  </r>
  <r>
    <s v="C2000"/>
    <s v="O2000"/>
    <s v="TI-84 PLUS CE PYTHON"/>
    <x v="0"/>
    <n v="1"/>
    <n v="135"/>
    <n v="0"/>
    <n v="135"/>
    <x v="220"/>
    <s v=" 10/11/2023"/>
    <n v="4"/>
  </r>
  <r>
    <s v="C2001"/>
    <s v="O2001"/>
    <s v="ti-84 plus ce"/>
    <x v="0"/>
    <n v="1"/>
    <n v="130"/>
    <n v="0"/>
    <n v="130"/>
    <x v="220"/>
    <s v=" 11/11/2023"/>
    <n v="3"/>
  </r>
  <r>
    <s v="C2002"/>
    <s v="O2002"/>
    <s v="ti-84 plus ce"/>
    <x v="0"/>
    <n v="1"/>
    <n v="130"/>
    <n v="0"/>
    <n v="130"/>
    <x v="221"/>
    <s v=" 8/11/2023"/>
    <n v="3"/>
  </r>
  <r>
    <s v="C2003"/>
    <s v="O2003"/>
    <s v="ti-84 plus ce"/>
    <x v="0"/>
    <n v="1"/>
    <n v="130"/>
    <n v="0"/>
    <n v="130"/>
    <x v="221"/>
    <s v=" 12/11/2023"/>
    <n v="1"/>
  </r>
  <r>
    <s v="C2004"/>
    <s v="O2004"/>
    <s v="ti-nspire cx"/>
    <x v="0"/>
    <n v="3"/>
    <n v="190"/>
    <n v="5"/>
    <n v="565"/>
    <x v="221"/>
    <s v=" 10/11/2023"/>
    <n v="4"/>
  </r>
  <r>
    <s v="C2005"/>
    <s v="O2005"/>
    <s v="ti-84 plus ce"/>
    <x v="0"/>
    <n v="1"/>
    <n v="130"/>
    <n v="5"/>
    <n v="125"/>
    <x v="221"/>
    <s v=" 11/11/2023"/>
    <n v="3"/>
  </r>
  <r>
    <s v="C2006"/>
    <s v="O2006"/>
    <s v="ti-84 plus ce"/>
    <x v="0"/>
    <n v="1"/>
    <n v="130"/>
    <n v="0"/>
    <n v="130"/>
    <x v="221"/>
    <s v=" 8/11/2023"/>
    <n v="1"/>
  </r>
  <r>
    <s v="C2007"/>
    <s v="O2007"/>
    <s v="ti-84 plus ce"/>
    <x v="0"/>
    <n v="1"/>
    <n v="130"/>
    <n v="0"/>
    <n v="130"/>
    <x v="221"/>
    <s v=" 12/11/2023"/>
    <n v="1"/>
  </r>
  <r>
    <s v="C2008"/>
    <s v="O2008"/>
    <s v="ti-nspire cx"/>
    <x v="0"/>
    <n v="3"/>
    <n v="190"/>
    <n v="5"/>
    <n v="565"/>
    <x v="221"/>
    <s v=" 10/11/2023"/>
    <n v="4"/>
  </r>
  <r>
    <s v="C2009"/>
    <s v="O2009"/>
    <s v="ti-84 plus ce"/>
    <x v="0"/>
    <n v="1"/>
    <n v="130"/>
    <n v="5"/>
    <n v="125"/>
    <x v="221"/>
    <s v=" 11/11/2023"/>
    <n v="4"/>
  </r>
  <r>
    <s v="C2010"/>
    <s v="O2010"/>
    <s v="ti-84 plus ce"/>
    <x v="0"/>
    <n v="2"/>
    <n v="130"/>
    <n v="10"/>
    <n v="250"/>
    <x v="222"/>
    <s v=" 13/11/2023"/>
    <n v="4"/>
  </r>
  <r>
    <s v="C2011"/>
    <s v="O2011"/>
    <s v="TI-84 PLUS CE PYTHON"/>
    <x v="0"/>
    <n v="3"/>
    <n v="135"/>
    <n v="10"/>
    <n v="395"/>
    <x v="222"/>
    <s v=" 10/11/2023"/>
    <n v="3"/>
  </r>
  <r>
    <s v="C2012"/>
    <s v="O2012"/>
    <s v="ti-84 plus ce"/>
    <x v="0"/>
    <n v="2"/>
    <n v="130"/>
    <n v="10"/>
    <n v="250"/>
    <x v="222"/>
    <s v=" 13/11/2023"/>
    <n v="1"/>
  </r>
  <r>
    <s v="C2013"/>
    <s v="O2013"/>
    <s v="TI-84 PLUS CE PYTHON"/>
    <x v="0"/>
    <n v="3"/>
    <n v="135"/>
    <n v="10"/>
    <n v="395"/>
    <x v="222"/>
    <s v=" 10/11/2023"/>
    <n v="3"/>
  </r>
  <r>
    <s v="C2014"/>
    <s v="O2014"/>
    <s v="ti-84 plus ce"/>
    <x v="0"/>
    <n v="2"/>
    <n v="130"/>
    <n v="10"/>
    <n v="250"/>
    <x v="222"/>
    <s v=" 13/11/2023"/>
    <n v="1"/>
  </r>
  <r>
    <s v="C2015"/>
    <s v="O2015"/>
    <s v="TI-84 PLUS CE PYTHON"/>
    <x v="0"/>
    <n v="3"/>
    <n v="135"/>
    <n v="10"/>
    <n v="395"/>
    <x v="222"/>
    <s v=" 10/11/2023"/>
    <n v="1"/>
  </r>
  <r>
    <s v="C2016"/>
    <s v="O2016"/>
    <s v="ti-84 plus"/>
    <x v="0"/>
    <n v="2"/>
    <n v="125"/>
    <n v="0"/>
    <n v="250"/>
    <x v="223"/>
    <s v=" 13/11/2023"/>
    <n v="4"/>
  </r>
  <r>
    <s v="C2017"/>
    <s v="O2017"/>
    <s v="ti-84 plus"/>
    <x v="0"/>
    <n v="2"/>
    <n v="125"/>
    <n v="0"/>
    <n v="250"/>
    <x v="223"/>
    <s v=" 13/11/2023"/>
    <n v="2"/>
  </r>
  <r>
    <s v="C2018"/>
    <s v="O2018"/>
    <s v="ti-84 plus"/>
    <x v="0"/>
    <n v="2"/>
    <n v="125"/>
    <n v="0"/>
    <n v="250"/>
    <x v="223"/>
    <s v=" 13/11/2023"/>
    <n v="4"/>
  </r>
  <r>
    <s v="C2019"/>
    <s v="O2019"/>
    <s v="TI-83 plus"/>
    <x v="0"/>
    <n v="1"/>
    <n v="85"/>
    <n v="0"/>
    <n v="85"/>
    <x v="224"/>
    <s v=" 12/11/2023"/>
    <n v="3"/>
  </r>
  <r>
    <s v="C2020"/>
    <s v="O2020"/>
    <s v="ti-84 plus ce"/>
    <x v="0"/>
    <n v="1"/>
    <n v="130"/>
    <n v="0"/>
    <n v="130"/>
    <x v="224"/>
    <s v=" 16/11/2023"/>
    <n v="1"/>
  </r>
  <r>
    <s v="C2021"/>
    <s v="O2021"/>
    <s v="TI-83 plus"/>
    <x v="0"/>
    <n v="1"/>
    <n v="85"/>
    <n v="0"/>
    <n v="85"/>
    <x v="224"/>
    <s v=" 12/11/2023"/>
    <n v="4"/>
  </r>
  <r>
    <s v="C2022"/>
    <s v="O2022"/>
    <s v="ti-84 plus ce"/>
    <x v="0"/>
    <n v="1"/>
    <n v="130"/>
    <n v="0"/>
    <n v="130"/>
    <x v="224"/>
    <s v=" 16/11/2023"/>
    <n v="4"/>
  </r>
  <r>
    <s v="C2023"/>
    <s v="O2023"/>
    <s v="ti-84 plus ce"/>
    <x v="0"/>
    <n v="1"/>
    <n v="130"/>
    <n v="0"/>
    <n v="130"/>
    <x v="224"/>
    <s v=" 16/11/2023"/>
    <n v="3"/>
  </r>
  <r>
    <s v="C2024"/>
    <s v="O2024"/>
    <s v="TI-84 PLUS CE PYTHON"/>
    <x v="0"/>
    <n v="1"/>
    <n v="135"/>
    <n v="0"/>
    <n v="135"/>
    <x v="225"/>
    <s v=" 17/11/2023"/>
    <n v="4"/>
  </r>
  <r>
    <s v="C2025"/>
    <s v="O2025"/>
    <s v="ti-84 plus"/>
    <x v="0"/>
    <n v="2"/>
    <n v="125"/>
    <n v="0"/>
    <n v="250"/>
    <x v="225"/>
    <s v=" 12/11/2023"/>
    <n v="1"/>
  </r>
  <r>
    <s v="C2026"/>
    <s v="O2026"/>
    <s v="TI-84 PLUS CE PYTHON"/>
    <x v="0"/>
    <n v="1"/>
    <n v="135"/>
    <n v="0"/>
    <n v="135"/>
    <x v="225"/>
    <s v=" 17/11/2023"/>
    <n v="4"/>
  </r>
  <r>
    <s v="C2027"/>
    <s v="O2027"/>
    <s v="ti-84 plus"/>
    <x v="0"/>
    <n v="2"/>
    <n v="125"/>
    <n v="0"/>
    <n v="250"/>
    <x v="225"/>
    <s v=" 12/11/2023"/>
    <n v="2"/>
  </r>
  <r>
    <s v="C2028"/>
    <s v="O2028"/>
    <s v="TI-84 PLUS CE PYTHON"/>
    <x v="0"/>
    <n v="1"/>
    <n v="135"/>
    <n v="0"/>
    <n v="135"/>
    <x v="225"/>
    <s v=" 17/11/2023"/>
    <n v="4"/>
  </r>
  <r>
    <s v="C2029"/>
    <s v="O2029"/>
    <s v="ti-84 plus"/>
    <x v="0"/>
    <n v="2"/>
    <n v="125"/>
    <n v="0"/>
    <n v="250"/>
    <x v="225"/>
    <s v=" 12/11/2023"/>
    <n v="1"/>
  </r>
  <r>
    <s v="C2030"/>
    <s v="O2030"/>
    <s v="ti-84 plus ce"/>
    <x v="0"/>
    <n v="1"/>
    <n v="130"/>
    <n v="10"/>
    <n v="120"/>
    <x v="226"/>
    <s v=" 14/11/2023"/>
    <n v="1"/>
  </r>
  <r>
    <s v="C2031"/>
    <s v="O2031"/>
    <s v="TI-84 PLUS CE PYTHON"/>
    <x v="0"/>
    <n v="1"/>
    <n v="135"/>
    <n v="0"/>
    <n v="135"/>
    <x v="226"/>
    <s v=" 17/11/2023"/>
    <n v="4"/>
  </r>
  <r>
    <s v="C2032"/>
    <s v="O2032"/>
    <s v="TI-84 PLUS CE PYTHON"/>
    <x v="0"/>
    <n v="1"/>
    <n v="135"/>
    <n v="5"/>
    <n v="130"/>
    <x v="226"/>
    <s v=" 18/11/2023"/>
    <n v="4"/>
  </r>
  <r>
    <s v="C2033"/>
    <s v="O2033"/>
    <s v="ti-84 plus ce"/>
    <x v="0"/>
    <n v="1"/>
    <n v="130"/>
    <n v="10"/>
    <n v="120"/>
    <x v="226"/>
    <s v=" 16/11/2023"/>
    <n v="3"/>
  </r>
  <r>
    <s v="C2034"/>
    <s v="O2034"/>
    <s v="ti-84 plus ce"/>
    <x v="0"/>
    <n v="1"/>
    <n v="130"/>
    <n v="10"/>
    <n v="120"/>
    <x v="226"/>
    <s v=" 14/11/2023"/>
    <n v="4"/>
  </r>
  <r>
    <s v="C2035"/>
    <s v="O2035"/>
    <s v="TI-84 PLUS CE PYTHON"/>
    <x v="0"/>
    <n v="1"/>
    <n v="135"/>
    <n v="0"/>
    <n v="135"/>
    <x v="226"/>
    <s v=" 17/11/2023"/>
    <n v="2"/>
  </r>
  <r>
    <s v="C2036"/>
    <s v="O2036"/>
    <s v="TI-84 PLUS CE PYTHON"/>
    <x v="0"/>
    <n v="1"/>
    <n v="135"/>
    <n v="5"/>
    <n v="130"/>
    <x v="226"/>
    <s v=" 18/11/2023"/>
    <n v="4"/>
  </r>
  <r>
    <s v="C2037"/>
    <s v="O2037"/>
    <s v="ti-84 plus ce"/>
    <x v="0"/>
    <n v="1"/>
    <n v="130"/>
    <n v="10"/>
    <n v="120"/>
    <x v="226"/>
    <s v=" 16/11/2023"/>
    <n v="3"/>
  </r>
  <r>
    <s v="C2038"/>
    <s v="O2038"/>
    <s v="ti-84 plus ce"/>
    <x v="0"/>
    <n v="1"/>
    <n v="130"/>
    <n v="10"/>
    <n v="120"/>
    <x v="226"/>
    <s v=" 16/11/2023"/>
    <n v="1"/>
  </r>
  <r>
    <s v="C2039"/>
    <s v="O2039"/>
    <s v="TI-84 PLUS CE PYTHON"/>
    <x v="0"/>
    <n v="1"/>
    <n v="135"/>
    <n v="0"/>
    <n v="135"/>
    <x v="227"/>
    <s v=" 19/11/2023"/>
    <n v="2"/>
  </r>
  <r>
    <s v="C2040"/>
    <s v="O2040"/>
    <s v="TI-83 plus"/>
    <x v="0"/>
    <n v="1"/>
    <n v="85"/>
    <n v="0"/>
    <n v="85"/>
    <x v="227"/>
    <s v=" 14/11/2023"/>
    <n v="2"/>
  </r>
  <r>
    <s v="C2041"/>
    <s v="O2041"/>
    <s v="ti-84 plus ce"/>
    <x v="0"/>
    <n v="1"/>
    <n v="130"/>
    <n v="0"/>
    <n v="130"/>
    <x v="227"/>
    <s v=" 15/11/2023"/>
    <n v="3"/>
  </r>
  <r>
    <s v="C2042"/>
    <s v="O2042"/>
    <s v="TI-84 PLUS CE PYTHON"/>
    <x v="0"/>
    <n v="1"/>
    <n v="135"/>
    <n v="0"/>
    <n v="135"/>
    <x v="227"/>
    <s v=" 19/11/2023"/>
    <n v="3"/>
  </r>
  <r>
    <s v="C2043"/>
    <s v="O2043"/>
    <s v="TI-83 plus"/>
    <x v="0"/>
    <n v="1"/>
    <n v="85"/>
    <n v="0"/>
    <n v="85"/>
    <x v="227"/>
    <s v=" 14/11/2023"/>
    <n v="3"/>
  </r>
  <r>
    <s v="C2044"/>
    <s v="O2044"/>
    <s v="ti-84 plus ce"/>
    <x v="0"/>
    <n v="1"/>
    <n v="130"/>
    <n v="0"/>
    <n v="130"/>
    <x v="227"/>
    <s v=" 15/11/2023"/>
    <n v="3"/>
  </r>
  <r>
    <s v="C2045"/>
    <s v="O2045"/>
    <s v="ti-84 plus ce"/>
    <x v="0"/>
    <n v="1"/>
    <n v="130"/>
    <n v="0"/>
    <n v="130"/>
    <x v="227"/>
    <s v=" 15/11/2023"/>
    <n v="1"/>
  </r>
  <r>
    <s v="C2046"/>
    <s v="O2046"/>
    <s v="TI-84 PLUS CE PYTHON"/>
    <x v="0"/>
    <n v="2"/>
    <n v="135"/>
    <n v="0"/>
    <n v="270"/>
    <x v="228"/>
    <s v=" 15/11/2023"/>
    <n v="1"/>
  </r>
  <r>
    <s v="C2047"/>
    <s v="O2047"/>
    <s v="ti-nspire cx"/>
    <x v="0"/>
    <n v="1"/>
    <n v="190"/>
    <n v="5"/>
    <n v="185"/>
    <x v="228"/>
    <s v=" 17/11/2023"/>
    <n v="4"/>
  </r>
  <r>
    <s v="C2048"/>
    <s v="O2048"/>
    <s v="TI-84 PLUS CE PYTHON"/>
    <x v="0"/>
    <n v="1"/>
    <n v="135"/>
    <n v="10"/>
    <n v="125"/>
    <x v="228"/>
    <s v=" 19/11/2023"/>
    <n v="3"/>
  </r>
  <r>
    <s v="C2049"/>
    <s v="O2049"/>
    <s v="TI-84 PLUS CE PYTHON"/>
    <x v="0"/>
    <n v="2"/>
    <n v="135"/>
    <n v="0"/>
    <n v="270"/>
    <x v="228"/>
    <s v=" 15/11/2023"/>
    <n v="2"/>
  </r>
  <r>
    <s v="C2050"/>
    <s v="O2050"/>
    <s v="ti-nspire cx"/>
    <x v="0"/>
    <n v="1"/>
    <n v="190"/>
    <n v="5"/>
    <n v="185"/>
    <x v="228"/>
    <s v=" 17/11/2023"/>
    <n v="2"/>
  </r>
  <r>
    <s v="C2051"/>
    <s v="O2051"/>
    <s v="TI-84 PLUS CE PYTHON"/>
    <x v="0"/>
    <n v="1"/>
    <n v="135"/>
    <n v="10"/>
    <n v="125"/>
    <x v="228"/>
    <s v=" 19/11/2023"/>
    <n v="2"/>
  </r>
  <r>
    <s v="C2052"/>
    <s v="O2052"/>
    <s v="ti-nspire cx"/>
    <x v="0"/>
    <n v="1"/>
    <n v="190"/>
    <n v="5"/>
    <n v="185"/>
    <x v="228"/>
    <s v=" 17/11/2023"/>
    <n v="4"/>
  </r>
  <r>
    <s v="C2053"/>
    <s v="O2053"/>
    <s v="TI-84 PLUS CE PYTHON"/>
    <x v="0"/>
    <n v="1"/>
    <n v="135"/>
    <n v="10"/>
    <n v="125"/>
    <x v="228"/>
    <s v=" 19/11/2023"/>
    <n v="4"/>
  </r>
  <r>
    <s v="C2054"/>
    <s v="O2054"/>
    <s v="TI-84 PLUS CE PYTHON"/>
    <x v="0"/>
    <n v="2"/>
    <n v="135"/>
    <n v="0"/>
    <n v="270"/>
    <x v="229"/>
    <s v=" 18/11/2023"/>
    <n v="3"/>
  </r>
  <r>
    <s v="C2055"/>
    <s v="O2055"/>
    <s v="TI-83 plus"/>
    <x v="0"/>
    <n v="1"/>
    <n v="85"/>
    <n v="10"/>
    <n v="75"/>
    <x v="229"/>
    <s v=" 18/11/2023"/>
    <n v="2"/>
  </r>
  <r>
    <s v="C2056"/>
    <s v="O2056"/>
    <s v="TI-84 PLUS CE PYTHON"/>
    <x v="0"/>
    <n v="2"/>
    <n v="135"/>
    <n v="0"/>
    <n v="270"/>
    <x v="229"/>
    <s v=" 18/11/2023"/>
    <n v="3"/>
  </r>
  <r>
    <s v="C2057"/>
    <s v="O2057"/>
    <s v="TI-83 plus"/>
    <x v="0"/>
    <n v="1"/>
    <n v="85"/>
    <n v="10"/>
    <n v="75"/>
    <x v="229"/>
    <s v=" 18/11/2023"/>
    <n v="3"/>
  </r>
  <r>
    <s v="C2058"/>
    <s v="O2058"/>
    <s v="ti-nspire cx"/>
    <x v="0"/>
    <n v="1"/>
    <n v="190"/>
    <n v="0"/>
    <n v="190"/>
    <x v="230"/>
    <s v=" 17/11/2023"/>
    <n v="1"/>
  </r>
  <r>
    <s v="C2059"/>
    <s v="O2059"/>
    <s v="ti-nspire cx"/>
    <x v="0"/>
    <n v="1"/>
    <n v="190"/>
    <n v="0"/>
    <n v="190"/>
    <x v="230"/>
    <s v=" 17/11/2023"/>
    <n v="2"/>
  </r>
  <r>
    <s v="C2060"/>
    <s v="O2060"/>
    <s v="ti-nspire cx"/>
    <x v="0"/>
    <n v="1"/>
    <n v="190"/>
    <n v="0"/>
    <n v="190"/>
    <x v="230"/>
    <s v=" 17/11/2023"/>
    <n v="3"/>
  </r>
  <r>
    <s v="C2061"/>
    <s v="O2061"/>
    <s v="ti-nspire CX II Cas"/>
    <x v="1"/>
    <n v="1"/>
    <n v="215"/>
    <n v="0"/>
    <n v="215"/>
    <x v="231"/>
    <s v=" 22/11/2023"/>
    <n v="1"/>
  </r>
  <r>
    <s v="C2062"/>
    <s v="O2062"/>
    <s v="ti-nspire CX II Cas"/>
    <x v="1"/>
    <n v="1"/>
    <n v="215"/>
    <n v="0"/>
    <n v="215"/>
    <x v="231"/>
    <s v=" 22/11/2023"/>
    <n v="2"/>
  </r>
  <r>
    <s v="C2063"/>
    <s v="O2063"/>
    <s v="ti-nspire CX II Cas"/>
    <x v="1"/>
    <n v="1"/>
    <n v="215"/>
    <n v="0"/>
    <n v="215"/>
    <x v="231"/>
    <s v=" 22/11/2023"/>
    <n v="4"/>
  </r>
  <r>
    <s v="C2064"/>
    <s v="O2064"/>
    <s v="ti-84 plus"/>
    <x v="0"/>
    <n v="2"/>
    <n v="125"/>
    <n v="0"/>
    <n v="250"/>
    <x v="232"/>
    <s v=" 20/11/2023"/>
    <n v="4"/>
  </r>
  <r>
    <s v="C2065"/>
    <s v="O2065"/>
    <s v="ti-nspire cx"/>
    <x v="0"/>
    <n v="1"/>
    <n v="190"/>
    <n v="0"/>
    <n v="190"/>
    <x v="232"/>
    <s v=" 19/11/2023"/>
    <n v="2"/>
  </r>
  <r>
    <s v="C2066"/>
    <s v="O2066"/>
    <s v="ti-84 plus"/>
    <x v="0"/>
    <n v="2"/>
    <n v="125"/>
    <n v="0"/>
    <n v="250"/>
    <x v="232"/>
    <s v=" 20/11/2023"/>
    <n v="2"/>
  </r>
  <r>
    <s v="C2067"/>
    <s v="O2067"/>
    <s v="ti-nspire cx"/>
    <x v="0"/>
    <n v="1"/>
    <n v="190"/>
    <n v="0"/>
    <n v="190"/>
    <x v="232"/>
    <s v=" 19/11/2023"/>
    <n v="3"/>
  </r>
  <r>
    <s v="C2068"/>
    <s v="O2068"/>
    <s v="ti-84 plus ce"/>
    <x v="0"/>
    <n v="1"/>
    <n v="130"/>
    <n v="5"/>
    <n v="125"/>
    <x v="233"/>
    <s v=" 23/11/2023"/>
    <n v="2"/>
  </r>
  <r>
    <s v="C2069"/>
    <s v="O2069"/>
    <s v="ti-84 plus"/>
    <x v="0"/>
    <n v="1"/>
    <n v="125"/>
    <n v="0"/>
    <n v="125"/>
    <x v="233"/>
    <s v=" 21/11/2023"/>
    <n v="4"/>
  </r>
  <r>
    <s v="C2070"/>
    <s v="O2070"/>
    <s v="ti-84 plus ce"/>
    <x v="0"/>
    <n v="1"/>
    <n v="130"/>
    <n v="5"/>
    <n v="125"/>
    <x v="233"/>
    <s v=" 23/11/2023"/>
    <n v="2"/>
  </r>
  <r>
    <s v="C2071"/>
    <s v="O2071"/>
    <s v="ti-84 plus"/>
    <x v="0"/>
    <n v="1"/>
    <n v="125"/>
    <n v="0"/>
    <n v="125"/>
    <x v="233"/>
    <s v=" 21/11/2023"/>
    <n v="2"/>
  </r>
  <r>
    <s v="C2072"/>
    <s v="O2072"/>
    <s v="ti-84 plus"/>
    <x v="0"/>
    <n v="1"/>
    <n v="125"/>
    <n v="0"/>
    <n v="125"/>
    <x v="233"/>
    <s v=" 21/11/2023"/>
    <n v="3"/>
  </r>
  <r>
    <s v="C2073"/>
    <s v="O2073"/>
    <s v="TI-84 PLUS CE PYTHON"/>
    <x v="0"/>
    <n v="2"/>
    <n v="135"/>
    <n v="0"/>
    <n v="270"/>
    <x v="234"/>
    <s v=" 26/11/2023"/>
    <n v="4"/>
  </r>
  <r>
    <s v="C2074"/>
    <s v="O2074"/>
    <s v="ti-84 plus"/>
    <x v="0"/>
    <n v="1"/>
    <n v="125"/>
    <n v="0"/>
    <n v="125"/>
    <x v="234"/>
    <s v=" 25/11/2023"/>
    <n v="3"/>
  </r>
  <r>
    <s v="C2075"/>
    <s v="O2075"/>
    <s v="TI-84 PLUS CE PYTHON"/>
    <x v="0"/>
    <n v="2"/>
    <n v="135"/>
    <n v="0"/>
    <n v="270"/>
    <x v="234"/>
    <s v=" 26/11/2023"/>
    <n v="3"/>
  </r>
  <r>
    <s v="C2076"/>
    <s v="O2076"/>
    <s v="ti-84 plus"/>
    <x v="0"/>
    <n v="1"/>
    <n v="125"/>
    <n v="0"/>
    <n v="125"/>
    <x v="234"/>
    <s v=" 25/11/2023"/>
    <n v="2"/>
  </r>
  <r>
    <s v="C2077"/>
    <s v="O2077"/>
    <s v="ti-84 plus ce"/>
    <x v="0"/>
    <n v="2"/>
    <n v="130"/>
    <n v="10"/>
    <n v="250"/>
    <x v="235"/>
    <s v=" 27/11/2023"/>
    <n v="3"/>
  </r>
  <r>
    <s v="C2078"/>
    <s v="O2078"/>
    <s v="TI-NSPIRE CX CAS"/>
    <x v="1"/>
    <n v="2"/>
    <n v="200"/>
    <n v="0"/>
    <n v="400"/>
    <x v="235"/>
    <s v=" 25/11/2023"/>
    <n v="3"/>
  </r>
  <r>
    <s v="C2079"/>
    <s v="O2079"/>
    <s v="ti-84 plus ce"/>
    <x v="0"/>
    <n v="2"/>
    <n v="130"/>
    <n v="0"/>
    <n v="260"/>
    <x v="235"/>
    <s v=" 26/11/2023"/>
    <n v="3"/>
  </r>
  <r>
    <s v="C2080"/>
    <s v="O2080"/>
    <s v="ti-84 plus ce"/>
    <x v="0"/>
    <n v="2"/>
    <n v="130"/>
    <n v="10"/>
    <n v="250"/>
    <x v="235"/>
    <s v=" 27/11/2023"/>
    <n v="1"/>
  </r>
  <r>
    <s v="C2081"/>
    <s v="O2081"/>
    <s v="TI-NSPIRE CX CAS"/>
    <x v="1"/>
    <n v="2"/>
    <n v="200"/>
    <n v="0"/>
    <n v="400"/>
    <x v="235"/>
    <s v=" 25/11/2023"/>
    <n v="1"/>
  </r>
  <r>
    <s v="C2082"/>
    <s v="O2082"/>
    <s v="ti-84 plus ce"/>
    <x v="0"/>
    <n v="2"/>
    <n v="130"/>
    <n v="0"/>
    <n v="260"/>
    <x v="235"/>
    <s v=" 26/11/2023"/>
    <n v="1"/>
  </r>
  <r>
    <s v="C2083"/>
    <s v="O2083"/>
    <s v="ti-84 plus ce"/>
    <x v="0"/>
    <n v="1"/>
    <n v="130"/>
    <n v="5"/>
    <n v="125"/>
    <x v="236"/>
    <s v=" 26/11/2023"/>
    <n v="3"/>
  </r>
  <r>
    <s v="C2084"/>
    <s v="O2084"/>
    <s v="ti-84 plus ce"/>
    <x v="0"/>
    <n v="1"/>
    <n v="130"/>
    <n v="5"/>
    <n v="125"/>
    <x v="236"/>
    <s v=" 26/11/2023"/>
    <n v="1"/>
  </r>
  <r>
    <s v="C2085"/>
    <s v="O2085"/>
    <s v="ti-84 plus"/>
    <x v="0"/>
    <n v="3"/>
    <n v="125"/>
    <n v="0"/>
    <n v="375"/>
    <x v="237"/>
    <s v=" 27/11/2023"/>
    <n v="1"/>
  </r>
  <r>
    <s v="C2086"/>
    <s v="O2086"/>
    <s v="ti-84 plus ce"/>
    <x v="0"/>
    <n v="1"/>
    <n v="130"/>
    <n v="0"/>
    <n v="130"/>
    <x v="237"/>
    <s v=" 26/11/2023"/>
    <n v="3"/>
  </r>
  <r>
    <s v="C2087"/>
    <s v="O2087"/>
    <s v="ti-84 plus"/>
    <x v="0"/>
    <n v="3"/>
    <n v="125"/>
    <n v="0"/>
    <n v="375"/>
    <x v="237"/>
    <s v=" 27/11/2023"/>
    <n v="3"/>
  </r>
  <r>
    <s v="C2088"/>
    <s v="O2088"/>
    <s v="ti-84 plus ce"/>
    <x v="0"/>
    <n v="1"/>
    <n v="130"/>
    <n v="0"/>
    <n v="130"/>
    <x v="237"/>
    <s v=" 26/11/2023"/>
    <n v="2"/>
  </r>
  <r>
    <s v="C2089"/>
    <s v="O2089"/>
    <s v="ti-84 plus ce"/>
    <x v="0"/>
    <n v="1"/>
    <n v="130"/>
    <n v="0"/>
    <n v="130"/>
    <x v="237"/>
    <s v=" 26/11/2023"/>
    <n v="2"/>
  </r>
  <r>
    <s v="C2090"/>
    <s v="O2090"/>
    <s v="TI-84 PLUS CE PYTHON"/>
    <x v="0"/>
    <n v="1"/>
    <n v="135"/>
    <n v="5"/>
    <n v="130"/>
    <x v="238"/>
    <s v=" 29/11/2023"/>
    <n v="4"/>
  </r>
  <r>
    <s v="C2091"/>
    <s v="O2091"/>
    <s v="TI-84 PLUS CE PYTHON"/>
    <x v="0"/>
    <n v="1"/>
    <n v="135"/>
    <n v="5"/>
    <n v="130"/>
    <x v="238"/>
    <s v=" 29/11/2023"/>
    <n v="2"/>
  </r>
  <r>
    <s v="C2092"/>
    <s v="O2092"/>
    <s v="TI-84 PLUS CE PYTHON"/>
    <x v="0"/>
    <n v="1"/>
    <n v="135"/>
    <n v="5"/>
    <n v="130"/>
    <x v="238"/>
    <s v=" 29/11/2023"/>
    <n v="4"/>
  </r>
  <r>
    <s v="C2093"/>
    <s v="O2093"/>
    <s v="ti-84 plus"/>
    <x v="0"/>
    <n v="4"/>
    <n v="125"/>
    <n v="5"/>
    <n v="495"/>
    <x v="239"/>
    <s v=" 28/11/2023"/>
    <n v="4"/>
  </r>
  <r>
    <s v="C2094"/>
    <s v="O2094"/>
    <s v="TI-84 PLUS CE PYTHON"/>
    <x v="0"/>
    <n v="2"/>
    <n v="135"/>
    <n v="0"/>
    <n v="270"/>
    <x v="239"/>
    <s v=" 30/11/2023"/>
    <n v="2"/>
  </r>
  <r>
    <s v="C2095"/>
    <s v="O2095"/>
    <s v="ti-84 plus"/>
    <x v="0"/>
    <n v="4"/>
    <n v="125"/>
    <n v="5"/>
    <n v="495"/>
    <x v="239"/>
    <s v=" 28/11/2023"/>
    <n v="2"/>
  </r>
  <r>
    <s v="C2096"/>
    <s v="O2096"/>
    <s v="TI-84 PLUS CE PYTHON"/>
    <x v="0"/>
    <n v="2"/>
    <n v="135"/>
    <n v="0"/>
    <n v="270"/>
    <x v="239"/>
    <s v=" 30/11/2023"/>
    <n v="1"/>
  </r>
  <r>
    <s v="C2097"/>
    <s v="O2097"/>
    <s v="TI-84 PLUS CE PYTHON"/>
    <x v="0"/>
    <n v="2"/>
    <n v="135"/>
    <n v="0"/>
    <n v="270"/>
    <x v="239"/>
    <s v=" 30/11/2023"/>
    <n v="4"/>
  </r>
  <r>
    <s v="C2098"/>
    <s v="O2098"/>
    <s v="ti-84 plus ce"/>
    <x v="0"/>
    <n v="1"/>
    <n v="130"/>
    <n v="5"/>
    <n v="125"/>
    <x v="240"/>
    <s v=" 30/11/2023"/>
    <n v="1"/>
  </r>
  <r>
    <s v="C2099"/>
    <s v="O2099"/>
    <s v="TI-84 PLUS CE PYTHON"/>
    <x v="0"/>
    <n v="1"/>
    <n v="135"/>
    <n v="0"/>
    <n v="135"/>
    <x v="240"/>
    <s v=" 3/12/2023"/>
    <n v="1"/>
  </r>
  <r>
    <s v="C2100"/>
    <s v="O2100"/>
    <s v="ti-nspire cx"/>
    <x v="0"/>
    <n v="1"/>
    <n v="190"/>
    <n v="0"/>
    <n v="190"/>
    <x v="240"/>
    <s v=" 30/11/2023"/>
    <n v="2"/>
  </r>
  <r>
    <s v="C2101"/>
    <s v="O2101"/>
    <s v="ti-84 plus ce"/>
    <x v="0"/>
    <n v="1"/>
    <n v="130"/>
    <n v="0"/>
    <n v="130"/>
    <x v="240"/>
    <s v=" 30/11/2023"/>
    <n v="4"/>
  </r>
  <r>
    <s v="C2102"/>
    <s v="O2102"/>
    <s v="ti-84 plus ce"/>
    <x v="0"/>
    <n v="1"/>
    <n v="130"/>
    <n v="5"/>
    <n v="125"/>
    <x v="240"/>
    <s v=" 30/11/2023"/>
    <n v="1"/>
  </r>
  <r>
    <s v="C2103"/>
    <s v="O2103"/>
    <s v="TI-84 PLUS CE PYTHON"/>
    <x v="0"/>
    <n v="1"/>
    <n v="135"/>
    <n v="0"/>
    <n v="135"/>
    <x v="240"/>
    <s v=" 3/12/2023"/>
    <n v="4"/>
  </r>
  <r>
    <s v="C2104"/>
    <s v="O2104"/>
    <s v="ti-nspire cx"/>
    <x v="0"/>
    <n v="1"/>
    <n v="190"/>
    <n v="0"/>
    <n v="190"/>
    <x v="240"/>
    <s v=" 30/11/2023"/>
    <n v="2"/>
  </r>
  <r>
    <s v="C2105"/>
    <s v="O2105"/>
    <s v="ti-84 plus ce"/>
    <x v="0"/>
    <n v="1"/>
    <n v="130"/>
    <n v="0"/>
    <n v="130"/>
    <x v="240"/>
    <s v=" 30/11/2023"/>
    <n v="2"/>
  </r>
  <r>
    <s v="C2106"/>
    <s v="O2106"/>
    <s v="TI-84 PLUS CE PYTHON"/>
    <x v="0"/>
    <n v="1"/>
    <n v="135"/>
    <n v="0"/>
    <n v="135"/>
    <x v="240"/>
    <s v=" 3/12/2023"/>
    <n v="1"/>
  </r>
  <r>
    <s v="C2107"/>
    <s v="O2107"/>
    <s v="ti-84 plus ce"/>
    <x v="0"/>
    <n v="1"/>
    <n v="130"/>
    <n v="0"/>
    <n v="130"/>
    <x v="240"/>
    <s v=" 30/11/2023"/>
    <n v="2"/>
  </r>
  <r>
    <s v="C2108"/>
    <s v="O2108"/>
    <s v="ti-nspire cx"/>
    <x v="0"/>
    <n v="1"/>
    <n v="190"/>
    <n v="0"/>
    <n v="190"/>
    <x v="241"/>
    <s v=" 7/12/2023"/>
    <n v="2"/>
  </r>
  <r>
    <s v="C2109"/>
    <s v="O2109"/>
    <s v="TI-83 plus"/>
    <x v="0"/>
    <n v="2"/>
    <n v="85"/>
    <n v="0"/>
    <n v="170"/>
    <x v="241"/>
    <s v=" 3/12/2023"/>
    <n v="1"/>
  </r>
  <r>
    <s v="C2110"/>
    <s v="O2110"/>
    <s v="Ti-nspire CX II"/>
    <x v="0"/>
    <n v="1"/>
    <n v="210"/>
    <n v="5"/>
    <n v="205"/>
    <x v="241"/>
    <s v=" 5/12/2023"/>
    <n v="3"/>
  </r>
  <r>
    <s v="C2111"/>
    <s v="O2111"/>
    <s v="ti-nspire cx"/>
    <x v="0"/>
    <n v="1"/>
    <n v="190"/>
    <n v="0"/>
    <n v="190"/>
    <x v="241"/>
    <s v=" 7/12/2023"/>
    <n v="2"/>
  </r>
  <r>
    <s v="C2112"/>
    <s v="O2112"/>
    <s v="TI-83 plus"/>
    <x v="0"/>
    <n v="2"/>
    <n v="85"/>
    <n v="0"/>
    <n v="170"/>
    <x v="241"/>
    <s v=" 3/12/2023"/>
    <n v="2"/>
  </r>
  <r>
    <s v="C2113"/>
    <s v="O2113"/>
    <s v="Ti-nspire CX II"/>
    <x v="0"/>
    <n v="1"/>
    <n v="210"/>
    <n v="5"/>
    <n v="205"/>
    <x v="241"/>
    <s v=" 5/12/2023"/>
    <n v="3"/>
  </r>
  <r>
    <s v="C2114"/>
    <s v="O2114"/>
    <s v="Ti-nspire CX II"/>
    <x v="0"/>
    <n v="1"/>
    <n v="210"/>
    <n v="5"/>
    <n v="205"/>
    <x v="241"/>
    <s v=" 5/12/2023"/>
    <n v="3"/>
  </r>
  <r>
    <s v="C2115"/>
    <s v="O2115"/>
    <s v="TI-84 PLUS CE PYTHON"/>
    <x v="0"/>
    <n v="1"/>
    <n v="135"/>
    <n v="0"/>
    <n v="135"/>
    <x v="242"/>
    <s v=" 4/12/2023"/>
    <n v="2"/>
  </r>
  <r>
    <s v="C2116"/>
    <s v="O2116"/>
    <s v="TI-84 PLUS CE PYTHON"/>
    <x v="0"/>
    <n v="1"/>
    <n v="135"/>
    <n v="0"/>
    <n v="135"/>
    <x v="242"/>
    <s v=" 4/12/2023"/>
    <n v="1"/>
  </r>
  <r>
    <s v="C2117"/>
    <s v="O2117"/>
    <s v="TI-84 PLUS CE PYTHON"/>
    <x v="0"/>
    <n v="1"/>
    <n v="135"/>
    <n v="5"/>
    <n v="130"/>
    <x v="243"/>
    <s v=" 5/12/2023"/>
    <n v="1"/>
  </r>
  <r>
    <s v="C2118"/>
    <s v="O2118"/>
    <s v="ti-nspire cx"/>
    <x v="0"/>
    <n v="1"/>
    <n v="190"/>
    <n v="0"/>
    <n v="190"/>
    <x v="243"/>
    <s v=" 6/12/2023"/>
    <n v="1"/>
  </r>
  <r>
    <s v="C2119"/>
    <s v="O2119"/>
    <s v="ti-84 plus ce"/>
    <x v="0"/>
    <n v="2"/>
    <n v="130"/>
    <n v="0"/>
    <n v="260"/>
    <x v="243"/>
    <s v=" 7/12/2023"/>
    <n v="3"/>
  </r>
  <r>
    <s v="C2120"/>
    <s v="O2120"/>
    <s v="TI-84 PLUS CE PYTHON"/>
    <x v="0"/>
    <n v="1"/>
    <n v="135"/>
    <n v="5"/>
    <n v="130"/>
    <x v="243"/>
    <s v=" 5/12/2023"/>
    <n v="3"/>
  </r>
  <r>
    <s v="C2121"/>
    <s v="O2121"/>
    <s v="ti-nspire cx"/>
    <x v="0"/>
    <n v="1"/>
    <n v="190"/>
    <n v="0"/>
    <n v="190"/>
    <x v="243"/>
    <s v=" 6/12/2023"/>
    <n v="1"/>
  </r>
  <r>
    <s v="C2122"/>
    <s v="O2122"/>
    <s v="ti-84 plus ce"/>
    <x v="0"/>
    <n v="2"/>
    <n v="130"/>
    <n v="0"/>
    <n v="260"/>
    <x v="243"/>
    <s v=" 7/12/2023"/>
    <n v="2"/>
  </r>
  <r>
    <s v="C2123"/>
    <s v="O2123"/>
    <s v="ti-nspire cx"/>
    <x v="0"/>
    <n v="2"/>
    <n v="190"/>
    <n v="5"/>
    <n v="375"/>
    <x v="244"/>
    <s v=" 10/12/2023"/>
    <n v="1"/>
  </r>
  <r>
    <s v="C2124"/>
    <s v="O2124"/>
    <s v="ti-nspire cx"/>
    <x v="0"/>
    <n v="2"/>
    <n v="190"/>
    <n v="5"/>
    <n v="375"/>
    <x v="244"/>
    <s v=" 10/12/2023"/>
    <n v="1"/>
  </r>
  <r>
    <s v="C2125"/>
    <s v="O2125"/>
    <s v="ti-84 plus ce"/>
    <x v="0"/>
    <n v="1"/>
    <n v="130"/>
    <n v="0"/>
    <n v="130"/>
    <x v="245"/>
    <s v=" 8/12/2023"/>
    <n v="3"/>
  </r>
  <r>
    <s v="C2126"/>
    <s v="O2126"/>
    <s v="ti-84 plus ce"/>
    <x v="0"/>
    <n v="1"/>
    <n v="130"/>
    <n v="0"/>
    <n v="130"/>
    <x v="245"/>
    <s v=" 8/12/2023"/>
    <n v="4"/>
  </r>
  <r>
    <s v="C2127"/>
    <s v="O2127"/>
    <s v="ti-84 plus ce"/>
    <x v="0"/>
    <n v="1"/>
    <n v="130"/>
    <n v="0"/>
    <n v="130"/>
    <x v="245"/>
    <s v=" 8/12/2023"/>
    <n v="4"/>
  </r>
  <r>
    <s v="C2128"/>
    <s v="O2128"/>
    <s v="ti-84 plus ce"/>
    <x v="0"/>
    <n v="1"/>
    <n v="130"/>
    <n v="5"/>
    <n v="125"/>
    <x v="246"/>
    <s v=" 10/12/2023"/>
    <n v="4"/>
  </r>
  <r>
    <s v="C2129"/>
    <s v="O2129"/>
    <s v="Ti-nspire CX II"/>
    <x v="0"/>
    <n v="1"/>
    <n v="210"/>
    <n v="0"/>
    <n v="210"/>
    <x v="246"/>
    <s v=" 11/12/2023"/>
    <n v="1"/>
  </r>
  <r>
    <s v="C2130"/>
    <s v="O2130"/>
    <s v="ti-84 plus ce"/>
    <x v="0"/>
    <n v="1"/>
    <n v="130"/>
    <n v="5"/>
    <n v="125"/>
    <x v="246"/>
    <s v=" 10/12/2023"/>
    <n v="3"/>
  </r>
  <r>
    <s v="C2131"/>
    <s v="O2131"/>
    <s v="Ti-nspire CX II"/>
    <x v="0"/>
    <n v="1"/>
    <n v="210"/>
    <n v="0"/>
    <n v="210"/>
    <x v="246"/>
    <s v=" 11/12/2023"/>
    <n v="4"/>
  </r>
  <r>
    <s v="C2132"/>
    <s v="O2132"/>
    <s v="Ti-84 Plus C Se"/>
    <x v="0"/>
    <n v="1"/>
    <n v="160"/>
    <n v="5"/>
    <n v="155"/>
    <x v="247"/>
    <s v=" 9/12/2023"/>
    <n v="1"/>
  </r>
  <r>
    <s v="C2133"/>
    <s v="O2133"/>
    <s v="Ti-84 Plus C Se"/>
    <x v="0"/>
    <n v="1"/>
    <n v="160"/>
    <n v="5"/>
    <n v="155"/>
    <x v="247"/>
    <s v=" 9/12/2023"/>
    <n v="2"/>
  </r>
  <r>
    <s v="C2134"/>
    <s v="O2134"/>
    <s v="TI-84 PLUS CE PYTHON"/>
    <x v="0"/>
    <n v="1"/>
    <n v="135"/>
    <n v="0"/>
    <n v="135"/>
    <x v="248"/>
    <s v=" 21/12/2023"/>
    <n v="1"/>
  </r>
  <r>
    <s v="C2135"/>
    <s v="O2135"/>
    <s v="TI-84 PLUS CE PYTHON"/>
    <x v="0"/>
    <n v="1"/>
    <n v="135"/>
    <n v="0"/>
    <n v="135"/>
    <x v="248"/>
    <s v=" 21/12/2023"/>
    <n v="4"/>
  </r>
  <r>
    <s v="C2136"/>
    <s v="O2136"/>
    <s v="ti-84 plus ce"/>
    <x v="0"/>
    <n v="1"/>
    <n v="130"/>
    <n v="5"/>
    <n v="125"/>
    <x v="249"/>
    <s v=" 23/12/2023"/>
    <n v="4"/>
  </r>
  <r>
    <s v="C2137"/>
    <s v="O2137"/>
    <s v="ti-nspire cx"/>
    <x v="0"/>
    <n v="1"/>
    <n v="190"/>
    <n v="0"/>
    <n v="190"/>
    <x v="249"/>
    <s v=" 22/12/2023"/>
    <n v="1"/>
  </r>
  <r>
    <s v="C2138"/>
    <s v="O2138"/>
    <s v="ti-84 plus"/>
    <x v="0"/>
    <n v="1"/>
    <n v="125"/>
    <n v="5"/>
    <n v="120"/>
    <x v="249"/>
    <s v=" 19/12/2023"/>
    <n v="1"/>
  </r>
  <r>
    <s v="C2139"/>
    <s v="O2139"/>
    <s v="TI-84 PLUS CE PYTHON"/>
    <x v="0"/>
    <n v="1"/>
    <n v="135"/>
    <n v="10"/>
    <n v="125"/>
    <x v="249"/>
    <s v=" 20/12/2023"/>
    <n v="3"/>
  </r>
  <r>
    <s v="C2140"/>
    <s v="O2140"/>
    <s v="ti-84 plus ce"/>
    <x v="0"/>
    <n v="2"/>
    <n v="130"/>
    <n v="0"/>
    <n v="260"/>
    <x v="249"/>
    <s v=" 18/12/2023"/>
    <n v="3"/>
  </r>
  <r>
    <s v="C2141"/>
    <s v="O2141"/>
    <s v="ti-84 plus ce"/>
    <x v="0"/>
    <n v="1"/>
    <n v="130"/>
    <n v="10"/>
    <n v="120"/>
    <x v="249"/>
    <s v=" 23/12/2023"/>
    <n v="1"/>
  </r>
  <r>
    <s v="C2142"/>
    <s v="O2142"/>
    <s v="TI-84 PLUS CE PYTHON"/>
    <x v="0"/>
    <n v="1"/>
    <n v="135"/>
    <n v="10"/>
    <n v="125"/>
    <x v="249"/>
    <s v=" 23/12/2023"/>
    <n v="4"/>
  </r>
  <r>
    <s v="C2143"/>
    <s v="O2143"/>
    <s v="ti-84 plus ce"/>
    <x v="0"/>
    <n v="1"/>
    <n v="130"/>
    <n v="5"/>
    <n v="125"/>
    <x v="249"/>
    <s v=" 23/12/2023"/>
    <n v="1"/>
  </r>
  <r>
    <s v="C2144"/>
    <s v="O2144"/>
    <s v="ti-nspire cx"/>
    <x v="0"/>
    <n v="1"/>
    <n v="190"/>
    <n v="0"/>
    <n v="190"/>
    <x v="249"/>
    <s v=" 22/12/2023"/>
    <n v="2"/>
  </r>
  <r>
    <s v="C2145"/>
    <s v="O2145"/>
    <s v="ti-84 plus"/>
    <x v="0"/>
    <n v="1"/>
    <n v="125"/>
    <n v="5"/>
    <n v="120"/>
    <x v="249"/>
    <s v=" 19/12/2023"/>
    <n v="3"/>
  </r>
  <r>
    <s v="C2146"/>
    <s v="O2146"/>
    <s v="TI-84 PLUS CE PYTHON"/>
    <x v="0"/>
    <n v="1"/>
    <n v="135"/>
    <n v="10"/>
    <n v="125"/>
    <x v="249"/>
    <s v=" 20/12/2023"/>
    <n v="3"/>
  </r>
  <r>
    <s v="C2147"/>
    <s v="O2147"/>
    <s v="ti-84 plus ce"/>
    <x v="0"/>
    <n v="2"/>
    <n v="130"/>
    <n v="0"/>
    <n v="260"/>
    <x v="249"/>
    <s v=" 18/12/2023"/>
    <n v="3"/>
  </r>
  <r>
    <s v="C2148"/>
    <s v="O2148"/>
    <s v="ti-84 plus ce"/>
    <x v="0"/>
    <n v="1"/>
    <n v="130"/>
    <n v="10"/>
    <n v="120"/>
    <x v="249"/>
    <s v=" 23/12/2023"/>
    <n v="1"/>
  </r>
  <r>
    <s v="C2149"/>
    <s v="O2149"/>
    <s v="TI-84 PLUS CE PYTHON"/>
    <x v="0"/>
    <n v="1"/>
    <n v="135"/>
    <n v="10"/>
    <n v="125"/>
    <x v="249"/>
    <s v=" 23/12/2023"/>
    <n v="4"/>
  </r>
  <r>
    <s v="C2150"/>
    <s v="O2150"/>
    <s v="ti-84 plus ce"/>
    <x v="0"/>
    <n v="3"/>
    <n v="130"/>
    <n v="5"/>
    <n v="385"/>
    <x v="250"/>
    <s v=" 25/12/2023"/>
    <n v="2"/>
  </r>
  <r>
    <s v="C2151"/>
    <s v="O2151"/>
    <s v="TI-84 PLUS CE PYTHON"/>
    <x v="0"/>
    <n v="1"/>
    <n v="135"/>
    <n v="5"/>
    <n v="130"/>
    <x v="250"/>
    <s v=" 20/12/2023"/>
    <n v="3"/>
  </r>
  <r>
    <s v="C2152"/>
    <s v="O2152"/>
    <s v="ti-84 plus ce"/>
    <x v="0"/>
    <n v="3"/>
    <n v="130"/>
    <n v="5"/>
    <n v="385"/>
    <x v="250"/>
    <s v=" 25/12/2023"/>
    <n v="3"/>
  </r>
  <r>
    <s v="C2153"/>
    <s v="O2153"/>
    <s v="TI-84 PLUS CE PYTHON"/>
    <x v="0"/>
    <n v="1"/>
    <n v="135"/>
    <n v="5"/>
    <n v="130"/>
    <x v="250"/>
    <s v=" 20/12/2023"/>
    <n v="4"/>
  </r>
  <r>
    <s v="C2154"/>
    <s v="O2154"/>
    <s v="ti-84 plus ce"/>
    <x v="0"/>
    <n v="1"/>
    <n v="130"/>
    <n v="10"/>
    <n v="120"/>
    <x v="251"/>
    <s v=" 22/12/2023"/>
    <n v="2"/>
  </r>
  <r>
    <s v="C2155"/>
    <s v="O2155"/>
    <s v="ti-89 titanium"/>
    <x v="1"/>
    <n v="1"/>
    <n v="220"/>
    <n v="10"/>
    <n v="210"/>
    <x v="251"/>
    <s v=" 24/12/2023"/>
    <n v="1"/>
  </r>
  <r>
    <s v="C2156"/>
    <s v="O2156"/>
    <s v="TI-NSPIRE CX CAS"/>
    <x v="1"/>
    <n v="1"/>
    <n v="200"/>
    <n v="0"/>
    <n v="200"/>
    <x v="251"/>
    <s v=" 26/12/2023"/>
    <n v="1"/>
  </r>
  <r>
    <s v="C2157"/>
    <s v="O2157"/>
    <s v="ti-84 plus ce"/>
    <x v="0"/>
    <n v="1"/>
    <n v="130"/>
    <n v="0"/>
    <n v="130"/>
    <x v="251"/>
    <s v=" 24/12/2023"/>
    <n v="4"/>
  </r>
  <r>
    <s v="C2158"/>
    <s v="O2158"/>
    <s v="ti-84 plus ce"/>
    <x v="0"/>
    <n v="1"/>
    <n v="130"/>
    <n v="10"/>
    <n v="120"/>
    <x v="251"/>
    <s v=" 22/12/2023"/>
    <n v="4"/>
  </r>
  <r>
    <s v="C2159"/>
    <s v="O2159"/>
    <s v="ti-89 titanium"/>
    <x v="1"/>
    <n v="1"/>
    <n v="220"/>
    <n v="10"/>
    <n v="210"/>
    <x v="251"/>
    <s v=" 24/12/2023"/>
    <n v="2"/>
  </r>
  <r>
    <s v="C2160"/>
    <s v="O2160"/>
    <s v="TI-NSPIRE CX CAS"/>
    <x v="1"/>
    <n v="1"/>
    <n v="200"/>
    <n v="0"/>
    <n v="200"/>
    <x v="251"/>
    <s v=" 26/12/2023"/>
    <n v="2"/>
  </r>
  <r>
    <s v="C2161"/>
    <s v="O2161"/>
    <s v="ti-84 plus ce"/>
    <x v="0"/>
    <n v="1"/>
    <n v="130"/>
    <n v="0"/>
    <n v="130"/>
    <x v="251"/>
    <s v=" 24/12/2023"/>
    <n v="3"/>
  </r>
  <r>
    <s v="C2162"/>
    <s v="O2162"/>
    <s v="TI-89"/>
    <x v="1"/>
    <n v="1"/>
    <n v="200"/>
    <n v="0"/>
    <n v="200"/>
    <x v="252"/>
    <s v=" 27/12/2023"/>
    <n v="4"/>
  </r>
  <r>
    <s v="C2163"/>
    <s v="O2163"/>
    <s v="ti-84 plus ce"/>
    <x v="0"/>
    <n v="2"/>
    <n v="130"/>
    <n v="0"/>
    <n v="260"/>
    <x v="252"/>
    <s v=" 27/12/2023"/>
    <n v="3"/>
  </r>
  <r>
    <s v="C2164"/>
    <s v="O2164"/>
    <s v="TI-89"/>
    <x v="1"/>
    <n v="1"/>
    <n v="200"/>
    <n v="0"/>
    <n v="200"/>
    <x v="252"/>
    <s v=" 27/12/2023"/>
    <n v="1"/>
  </r>
  <r>
    <s v="C2165"/>
    <s v="O2165"/>
    <s v="ti-84 plus ce"/>
    <x v="0"/>
    <n v="2"/>
    <n v="130"/>
    <n v="0"/>
    <n v="260"/>
    <x v="252"/>
    <s v=" 27/12/2023"/>
    <n v="1"/>
  </r>
  <r>
    <s v="C2166"/>
    <s v="O2166"/>
    <s v="TI-84 PLUS CE PYTHON"/>
    <x v="0"/>
    <n v="1"/>
    <n v="135"/>
    <n v="0"/>
    <n v="135"/>
    <x v="253"/>
    <s v=" 26/12/2023"/>
    <n v="1"/>
  </r>
  <r>
    <s v="C2167"/>
    <s v="O2167"/>
    <s v="TI-84 PLUS CE PYTHON"/>
    <x v="0"/>
    <n v="1"/>
    <n v="135"/>
    <n v="0"/>
    <n v="135"/>
    <x v="253"/>
    <s v=" 26/12/2023"/>
    <n v="3"/>
  </r>
  <r>
    <s v="C2168"/>
    <s v="O2168"/>
    <s v="ti-84 plus ce"/>
    <x v="0"/>
    <n v="3"/>
    <n v="130"/>
    <n v="0"/>
    <n v="390"/>
    <x v="254"/>
    <s v=" 27/12/2023"/>
    <n v="3"/>
  </r>
  <r>
    <s v="C2169"/>
    <s v="O2169"/>
    <s v="ti-84 plus ce"/>
    <x v="0"/>
    <n v="3"/>
    <n v="130"/>
    <n v="0"/>
    <n v="390"/>
    <x v="254"/>
    <s v=" 27/12/2023"/>
    <n v="4"/>
  </r>
  <r>
    <s v="C2170"/>
    <s v="O2170"/>
    <s v="ti-84 plus ce"/>
    <x v="0"/>
    <n v="1"/>
    <n v="130"/>
    <n v="0"/>
    <n v="130"/>
    <x v="255"/>
    <s v=" 26/12/2023"/>
    <n v="3"/>
  </r>
  <r>
    <s v="C2171"/>
    <s v="O2171"/>
    <s v="TI-83 plus"/>
    <x v="0"/>
    <n v="1"/>
    <n v="85"/>
    <n v="0"/>
    <n v="85"/>
    <x v="255"/>
    <s v=" 27/12/2023"/>
    <n v="3"/>
  </r>
  <r>
    <s v="C2172"/>
    <s v="O2172"/>
    <s v="ti-nspire CX II Cas"/>
    <x v="1"/>
    <n v="1"/>
    <n v="215"/>
    <n v="5"/>
    <n v="210"/>
    <x v="255"/>
    <s v=" 29/12/2023"/>
    <n v="2"/>
  </r>
  <r>
    <s v="C2173"/>
    <s v="O2173"/>
    <s v="ti-84 plus ce"/>
    <x v="0"/>
    <n v="1"/>
    <n v="130"/>
    <n v="0"/>
    <n v="130"/>
    <x v="255"/>
    <s v=" 26/12/2023"/>
    <n v="4"/>
  </r>
  <r>
    <s v="C2174"/>
    <s v="O2174"/>
    <s v="TI-83 plus"/>
    <x v="0"/>
    <n v="1"/>
    <n v="85"/>
    <n v="0"/>
    <n v="85"/>
    <x v="255"/>
    <s v=" 27/12/2023"/>
    <n v="3"/>
  </r>
  <r>
    <s v="C2175"/>
    <s v="O2175"/>
    <s v="ti-nspire CX II Cas"/>
    <x v="1"/>
    <n v="1"/>
    <n v="215"/>
    <n v="5"/>
    <n v="210"/>
    <x v="255"/>
    <s v=" 29/12/2023"/>
    <n v="4"/>
  </r>
  <r>
    <s v="C2176"/>
    <s v="O2176"/>
    <s v="ti-nspire cx"/>
    <x v="0"/>
    <n v="1"/>
    <n v="190"/>
    <n v="5"/>
    <n v="185"/>
    <x v="256"/>
    <s v=" 29/12/2023"/>
    <n v="4"/>
  </r>
  <r>
    <s v="C2177"/>
    <s v="O2177"/>
    <s v="ti-nspire cx"/>
    <x v="0"/>
    <n v="1"/>
    <n v="190"/>
    <n v="5"/>
    <n v="185"/>
    <x v="256"/>
    <s v=" 29/12/202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rowHeaderCaption="Products ">
  <location ref="A4:B19" firstHeaderRow="1" firstDataRow="1" firstDataCol="1"/>
  <pivotFields count="11">
    <pivotField showAll="0"/>
    <pivotField showAll="0"/>
    <pivotField showAll="0">
      <items count="14">
        <item x="6"/>
        <item x="1"/>
        <item x="5"/>
        <item x="0"/>
        <item x="2"/>
        <item x="3"/>
        <item x="8"/>
        <item x="7"/>
        <item x="4"/>
        <item x="10"/>
        <item x="9"/>
        <item x="11"/>
        <item x="12"/>
        <item t="default"/>
      </items>
    </pivotField>
    <pivotField axis="axisRow" showAll="0">
      <items count="4">
        <item x="1"/>
        <item x="0"/>
        <item x="2"/>
        <item t="default"/>
      </items>
    </pivotField>
    <pivotField axis="axisRow" showAll="0">
      <items count="6">
        <item x="0"/>
        <item x="3"/>
        <item x="2"/>
        <item x="1"/>
        <item n="Other" x="4"/>
        <item t="default"/>
      </items>
    </pivotField>
    <pivotField showAll="0"/>
    <pivotField showAll="0"/>
    <pivotField dataField="1" showAll="0">
      <items count="54">
        <item x="34"/>
        <item x="26"/>
        <item x="1"/>
        <item x="23"/>
        <item x="10"/>
        <item x="14"/>
        <item x="2"/>
        <item x="12"/>
        <item x="39"/>
        <item x="43"/>
        <item x="0"/>
        <item x="22"/>
        <item x="31"/>
        <item x="7"/>
        <item x="9"/>
        <item x="18"/>
        <item x="25"/>
        <item x="16"/>
        <item x="35"/>
        <item x="40"/>
        <item x="17"/>
        <item x="15"/>
        <item x="5"/>
        <item x="11"/>
        <item x="13"/>
        <item x="6"/>
        <item x="28"/>
        <item x="8"/>
        <item x="51"/>
        <item x="20"/>
        <item x="29"/>
        <item x="4"/>
        <item x="32"/>
        <item x="33"/>
        <item x="30"/>
        <item x="27"/>
        <item x="19"/>
        <item x="42"/>
        <item x="50"/>
        <item x="38"/>
        <item x="3"/>
        <item x="45"/>
        <item x="24"/>
        <item x="44"/>
        <item x="49"/>
        <item x="21"/>
        <item x="48"/>
        <item x="37"/>
        <item x="46"/>
        <item x="47"/>
        <item x="41"/>
        <item x="36"/>
        <item x="52"/>
        <item t="default"/>
      </items>
    </pivotField>
    <pivotField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x="94"/>
        <item x="133"/>
        <item x="162"/>
        <item x="183"/>
        <item x="227"/>
        <item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Fields count="2">
    <field x="4"/>
    <field x="3"/>
  </rowFields>
  <rowItems count="15">
    <i>
      <x/>
    </i>
    <i r="1">
      <x/>
    </i>
    <i r="1">
      <x v="1"/>
    </i>
    <i>
      <x v="1"/>
    </i>
    <i r="1">
      <x/>
    </i>
    <i r="1">
      <x v="1"/>
    </i>
    <i>
      <x v="2"/>
    </i>
    <i r="1">
      <x/>
    </i>
    <i r="1">
      <x v="1"/>
    </i>
    <i>
      <x v="3"/>
    </i>
    <i r="1">
      <x/>
    </i>
    <i r="1">
      <x v="1"/>
    </i>
    <i>
      <x v="4"/>
    </i>
    <i r="1">
      <x v="2"/>
    </i>
    <i t="grand">
      <x/>
    </i>
  </rowItems>
  <colItems count="1">
    <i/>
  </colItems>
  <dataFields count="1">
    <dataField name="Count of Total Value" fld="7" subtotal="count" baseField="0" baseItem="0"/>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3" count="1" selected="0">
            <x v="1"/>
          </reference>
          <reference field="4" count="1" selected="0">
            <x v="0"/>
          </reference>
        </references>
      </pivotArea>
    </chartFormat>
    <chartFormat chart="0" format="2">
      <pivotArea type="data" outline="0" fieldPosition="0">
        <references count="3">
          <reference field="4294967294" count="1" selected="0">
            <x v="0"/>
          </reference>
          <reference field="3" count="1" selected="0">
            <x v="1"/>
          </reference>
          <reference field="4" count="1" selected="0">
            <x v="1"/>
          </reference>
        </references>
      </pivotArea>
    </chartFormat>
    <chartFormat chart="0" format="3">
      <pivotArea type="data" outline="0" fieldPosition="0">
        <references count="3">
          <reference field="4294967294" count="1" selected="0">
            <x v="0"/>
          </reference>
          <reference field="3" count="1" selected="0">
            <x v="1"/>
          </reference>
          <reference field="4" count="1" selected="0">
            <x v="2"/>
          </reference>
        </references>
      </pivotArea>
    </chartFormat>
    <chartFormat chart="0" format="4">
      <pivotArea type="data" outline="0" fieldPosition="0">
        <references count="3">
          <reference field="4294967294" count="1" selected="0">
            <x v="0"/>
          </reference>
          <reference field="3" count="1" selected="0">
            <x v="0"/>
          </reference>
          <reference field="4" count="1" selected="0">
            <x v="0"/>
          </reference>
        </references>
      </pivotArea>
    </chartFormat>
    <chartFormat chart="0" format="5">
      <pivotArea type="data" outline="0" fieldPosition="0">
        <references count="3">
          <reference field="4294967294" count="1" selected="0">
            <x v="0"/>
          </reference>
          <reference field="3" count="1" selected="0">
            <x v="1"/>
          </reference>
          <reference field="4" count="1" selected="0">
            <x v="3"/>
          </reference>
        </references>
      </pivotArea>
    </chartFormat>
    <chartFormat chart="0" format="6">
      <pivotArea type="data" outline="0" fieldPosition="0">
        <references count="3">
          <reference field="4294967294" count="1" selected="0">
            <x v="0"/>
          </reference>
          <reference field="3" count="1" selected="0">
            <x v="0"/>
          </reference>
          <reference field="4" count="1" selected="0">
            <x v="2"/>
          </reference>
        </references>
      </pivotArea>
    </chartFormat>
    <chartFormat chart="0" format="7">
      <pivotArea type="data" outline="0" fieldPosition="0">
        <references count="3">
          <reference field="4294967294" count="1" selected="0">
            <x v="0"/>
          </reference>
          <reference field="3" count="1" selected="0">
            <x v="0"/>
          </reference>
          <reference field="4" count="1" selected="0">
            <x v="1"/>
          </reference>
        </references>
      </pivotArea>
    </chartFormat>
    <chartFormat chart="0" format="8">
      <pivotArea type="data" outline="0" fieldPosition="0">
        <references count="3">
          <reference field="4294967294" count="1" selected="0">
            <x v="0"/>
          </reference>
          <reference field="3" count="1" selected="0">
            <x v="0"/>
          </reference>
          <reference field="4" count="1" selected="0">
            <x v="3"/>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3">
          <reference field="4294967294" count="1" selected="0">
            <x v="0"/>
          </reference>
          <reference field="3" count="1" selected="0">
            <x v="0"/>
          </reference>
          <reference field="4" count="1" selected="0">
            <x v="0"/>
          </reference>
        </references>
      </pivotArea>
    </chartFormat>
    <chartFormat chart="3" format="20">
      <pivotArea type="data" outline="0" fieldPosition="0">
        <references count="3">
          <reference field="4294967294" count="1" selected="0">
            <x v="0"/>
          </reference>
          <reference field="3" count="1" selected="0">
            <x v="1"/>
          </reference>
          <reference field="4" count="1" selected="0">
            <x v="0"/>
          </reference>
        </references>
      </pivotArea>
    </chartFormat>
    <chartFormat chart="3" format="21">
      <pivotArea type="data" outline="0" fieldPosition="0">
        <references count="3">
          <reference field="4294967294" count="1" selected="0">
            <x v="0"/>
          </reference>
          <reference field="3" count="1" selected="0">
            <x v="0"/>
          </reference>
          <reference field="4" count="1" selected="0">
            <x v="1"/>
          </reference>
        </references>
      </pivotArea>
    </chartFormat>
    <chartFormat chart="3" format="22">
      <pivotArea type="data" outline="0" fieldPosition="0">
        <references count="3">
          <reference field="4294967294" count="1" selected="0">
            <x v="0"/>
          </reference>
          <reference field="3" count="1" selected="0">
            <x v="1"/>
          </reference>
          <reference field="4" count="1" selected="0">
            <x v="1"/>
          </reference>
        </references>
      </pivotArea>
    </chartFormat>
    <chartFormat chart="3" format="23">
      <pivotArea type="data" outline="0" fieldPosition="0">
        <references count="3">
          <reference field="4294967294" count="1" selected="0">
            <x v="0"/>
          </reference>
          <reference field="3" count="1" selected="0">
            <x v="0"/>
          </reference>
          <reference field="4" count="1" selected="0">
            <x v="2"/>
          </reference>
        </references>
      </pivotArea>
    </chartFormat>
    <chartFormat chart="3" format="24">
      <pivotArea type="data" outline="0" fieldPosition="0">
        <references count="3">
          <reference field="4294967294" count="1" selected="0">
            <x v="0"/>
          </reference>
          <reference field="3" count="1" selected="0">
            <x v="1"/>
          </reference>
          <reference field="4" count="1" selected="0">
            <x v="2"/>
          </reference>
        </references>
      </pivotArea>
    </chartFormat>
    <chartFormat chart="3" format="25">
      <pivotArea type="data" outline="0" fieldPosition="0">
        <references count="3">
          <reference field="4294967294" count="1" selected="0">
            <x v="0"/>
          </reference>
          <reference field="3" count="1" selected="0">
            <x v="0"/>
          </reference>
          <reference field="4" count="1" selected="0">
            <x v="3"/>
          </reference>
        </references>
      </pivotArea>
    </chartFormat>
    <chartFormat chart="3" format="26">
      <pivotArea type="data" outline="0" fieldPosition="0">
        <references count="3">
          <reference field="4294967294" count="1" selected="0">
            <x v="0"/>
          </reference>
          <reference field="3"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rowHeaderCaption="ORDER DATE">
  <location ref="A142:B400" firstHeaderRow="1" firstDataRow="1" firstDataCol="1"/>
  <pivotFields count="11">
    <pivotField showAll="0">
      <items count="10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t="default"/>
      </items>
    </pivotField>
    <pivotField showAll="0"/>
    <pivotField showAll="0">
      <items count="14">
        <item x="6"/>
        <item x="1"/>
        <item x="5"/>
        <item x="0"/>
        <item x="2"/>
        <item x="3"/>
        <item x="8"/>
        <item x="7"/>
        <item x="4"/>
        <item x="10"/>
        <item x="9"/>
        <item x="11"/>
        <item x="12"/>
        <item t="default"/>
      </items>
    </pivotField>
    <pivotField dataField="1" showAll="0">
      <items count="4">
        <item x="1"/>
        <item x="0"/>
        <item h="1" x="2"/>
        <item t="default"/>
      </items>
    </pivotField>
    <pivotField showAll="0"/>
    <pivotField showAll="0">
      <items count="13">
        <item x="6"/>
        <item x="1"/>
        <item x="5"/>
        <item x="2"/>
        <item x="3"/>
        <item x="0"/>
        <item x="4"/>
        <item x="8"/>
        <item x="9"/>
        <item x="10"/>
        <item x="7"/>
        <item x="11"/>
        <item t="default"/>
      </items>
    </pivotField>
    <pivotField showAll="0">
      <items count="5">
        <item x="0"/>
        <item x="1"/>
        <item x="2"/>
        <item x="3"/>
        <item t="default"/>
      </items>
    </pivotField>
    <pivotField showAll="0">
      <items count="54">
        <item x="34"/>
        <item x="26"/>
        <item x="1"/>
        <item x="23"/>
        <item x="10"/>
        <item x="14"/>
        <item x="2"/>
        <item x="12"/>
        <item x="39"/>
        <item x="43"/>
        <item x="0"/>
        <item x="22"/>
        <item x="31"/>
        <item x="7"/>
        <item x="9"/>
        <item x="18"/>
        <item x="25"/>
        <item x="16"/>
        <item x="35"/>
        <item x="40"/>
        <item x="17"/>
        <item x="15"/>
        <item x="5"/>
        <item x="11"/>
        <item x="13"/>
        <item x="6"/>
        <item x="28"/>
        <item x="8"/>
        <item x="51"/>
        <item x="20"/>
        <item x="29"/>
        <item x="4"/>
        <item x="32"/>
        <item x="33"/>
        <item x="30"/>
        <item x="27"/>
        <item x="19"/>
        <item x="42"/>
        <item x="50"/>
        <item x="38"/>
        <item x="3"/>
        <item x="45"/>
        <item x="24"/>
        <item x="44"/>
        <item x="49"/>
        <item x="21"/>
        <item x="48"/>
        <item x="37"/>
        <item x="46"/>
        <item x="47"/>
        <item x="41"/>
        <item x="36"/>
        <item x="52"/>
        <item t="default"/>
      </items>
    </pivotField>
    <pivotField axis="axisRow"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h="1" x="94"/>
        <item x="133"/>
        <item x="162"/>
        <item x="183"/>
        <item x="227"/>
        <item n="15/12/2023"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Fields count="1">
    <field x="8"/>
  </rowFields>
  <rowItems count="2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3"/>
    </i>
    <i>
      <x v="254"/>
    </i>
    <i>
      <x v="255"/>
    </i>
    <i>
      <x v="256"/>
    </i>
    <i>
      <x v="257"/>
    </i>
    <i t="grand">
      <x/>
    </i>
  </rowItems>
  <colItems count="1">
    <i/>
  </colItems>
  <dataFields count="1">
    <dataField name="Count of Product Category" fld="3" subtotal="count" baseField="0" baseItem="0"/>
  </dataFields>
  <chartFormats count="1">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rowHeaderCaption="Product Category">
  <location ref="A29:B32" firstHeaderRow="1" firstDataRow="1" firstDataCol="1"/>
  <pivotFields count="11">
    <pivotField showAll="0">
      <items count="10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t="default"/>
      </items>
    </pivotField>
    <pivotField showAll="0"/>
    <pivotField showAll="0"/>
    <pivotField axis="axisRow" showAll="0">
      <items count="4">
        <item x="1"/>
        <item x="0"/>
        <item h="1" x="2"/>
        <item t="default"/>
      </items>
    </pivotField>
    <pivotField showAll="0"/>
    <pivotField showAll="0">
      <items count="13">
        <item x="6"/>
        <item x="1"/>
        <item x="5"/>
        <item x="2"/>
        <item x="3"/>
        <item x="0"/>
        <item x="4"/>
        <item x="8"/>
        <item x="9"/>
        <item x="10"/>
        <item x="7"/>
        <item x="11"/>
        <item t="default"/>
      </items>
    </pivotField>
    <pivotField dataField="1" showAll="0">
      <items count="5">
        <item x="0"/>
        <item x="1"/>
        <item x="2"/>
        <item x="3"/>
        <item t="default"/>
      </items>
    </pivotField>
    <pivotField showAll="0"/>
    <pivotField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x="94"/>
        <item x="133"/>
        <item x="162"/>
        <item x="183"/>
        <item x="227"/>
        <item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Fields count="1">
    <field x="3"/>
  </rowFields>
  <rowItems count="3">
    <i>
      <x/>
    </i>
    <i>
      <x v="1"/>
    </i>
    <i t="grand">
      <x/>
    </i>
  </rowItems>
  <colItems count="1">
    <i/>
  </colItems>
  <dataFields count="1">
    <dataField name="Count of Discount" fld="6" subtotal="count" showDataAs="percentOfCol" baseField="3" baseItem="1"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rowHeaderCaption="Product Category">
  <location ref="A111:B119" firstHeaderRow="1" firstDataRow="1" firstDataCol="1"/>
  <pivotFields count="11">
    <pivotField showAll="0">
      <items count="10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t="default"/>
      </items>
    </pivotField>
    <pivotField showAll="0"/>
    <pivotField axis="axisRow" showAll="0">
      <items count="14">
        <item x="6"/>
        <item x="1"/>
        <item x="5"/>
        <item x="0"/>
        <item x="2"/>
        <item x="3"/>
        <item x="8"/>
        <item x="7"/>
        <item x="4"/>
        <item x="10"/>
        <item x="9"/>
        <item x="11"/>
        <item n="other" x="12"/>
        <item t="default"/>
      </items>
    </pivotField>
    <pivotField dataField="1" showAll="0">
      <items count="4">
        <item h="1" x="1"/>
        <item x="0"/>
        <item n="Other" h="1" x="2"/>
        <item t="default"/>
      </items>
    </pivotField>
    <pivotField showAll="0">
      <items count="6">
        <item x="0"/>
        <item x="3"/>
        <item x="2"/>
        <item x="1"/>
        <item x="4"/>
        <item t="default"/>
      </items>
    </pivotField>
    <pivotField showAll="0">
      <items count="13">
        <item x="6"/>
        <item x="1"/>
        <item x="5"/>
        <item x="2"/>
        <item x="3"/>
        <item x="0"/>
        <item x="4"/>
        <item x="8"/>
        <item x="9"/>
        <item x="10"/>
        <item x="7"/>
        <item x="11"/>
        <item t="default"/>
      </items>
    </pivotField>
    <pivotField showAll="0">
      <items count="5">
        <item h="1" x="0"/>
        <item h="1" x="1"/>
        <item x="2"/>
        <item h="1" x="3"/>
        <item t="default"/>
      </items>
    </pivotField>
    <pivotField showAll="0">
      <items count="54">
        <item x="34"/>
        <item x="26"/>
        <item x="1"/>
        <item x="23"/>
        <item x="10"/>
        <item x="14"/>
        <item x="2"/>
        <item x="12"/>
        <item x="39"/>
        <item x="43"/>
        <item x="0"/>
        <item x="22"/>
        <item x="31"/>
        <item x="7"/>
        <item x="9"/>
        <item x="18"/>
        <item x="25"/>
        <item x="16"/>
        <item x="35"/>
        <item x="40"/>
        <item x="17"/>
        <item x="15"/>
        <item x="5"/>
        <item x="11"/>
        <item x="13"/>
        <item x="6"/>
        <item x="28"/>
        <item x="8"/>
        <item x="51"/>
        <item x="20"/>
        <item x="29"/>
        <item x="4"/>
        <item x="32"/>
        <item x="33"/>
        <item x="30"/>
        <item x="27"/>
        <item x="19"/>
        <item x="42"/>
        <item x="50"/>
        <item x="38"/>
        <item x="3"/>
        <item x="45"/>
        <item x="24"/>
        <item x="44"/>
        <item x="49"/>
        <item x="21"/>
        <item x="48"/>
        <item x="37"/>
        <item x="46"/>
        <item x="47"/>
        <item x="41"/>
        <item x="36"/>
        <item x="52"/>
        <item t="default"/>
      </items>
    </pivotField>
    <pivotField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x="94"/>
        <item x="133"/>
        <item x="162"/>
        <item x="183"/>
        <item x="227"/>
        <item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Fields count="1">
    <field x="2"/>
  </rowFields>
  <rowItems count="8">
    <i>
      <x/>
    </i>
    <i>
      <x v="2"/>
    </i>
    <i>
      <x v="3"/>
    </i>
    <i>
      <x v="4"/>
    </i>
    <i>
      <x v="5"/>
    </i>
    <i>
      <x v="8"/>
    </i>
    <i>
      <x v="10"/>
    </i>
    <i t="grand">
      <x/>
    </i>
  </rowItems>
  <colItems count="1">
    <i/>
  </colItems>
  <dataFields count="1">
    <dataField name="Count of Product Category" fld="3" subtotal="count" baseField="0" baseItem="0"/>
  </dataFields>
  <chartFormats count="11">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 count="1" selected="0">
            <x v="4"/>
          </reference>
        </references>
      </pivotArea>
    </chartFormat>
    <chartFormat chart="8" format="4">
      <pivotArea type="data" outline="0" fieldPosition="0">
        <references count="2">
          <reference field="4294967294" count="1" selected="0">
            <x v="0"/>
          </reference>
          <reference field="2" count="1" selected="0">
            <x v="5"/>
          </reference>
        </references>
      </pivotArea>
    </chartFormat>
    <chartFormat chart="8" format="5">
      <pivotArea type="data" outline="0" fieldPosition="0">
        <references count="2">
          <reference field="4294967294" count="1" selected="0">
            <x v="0"/>
          </reference>
          <reference field="2" count="1" selected="0">
            <x v="8"/>
          </reference>
        </references>
      </pivotArea>
    </chartFormat>
    <chartFormat chart="8" format="6">
      <pivotArea type="data" outline="0" fieldPosition="0">
        <references count="2">
          <reference field="4294967294" count="1" selected="0">
            <x v="0"/>
          </reference>
          <reference field="2" count="1" selected="0">
            <x v="10"/>
          </reference>
        </references>
      </pivotArea>
    </chartFormat>
    <chartFormat chart="8" format="7">
      <pivotArea type="data" outline="0" fieldPosition="0">
        <references count="2">
          <reference field="4294967294" count="1" selected="0">
            <x v="0"/>
          </reference>
          <reference field="2" count="1" selected="0">
            <x v="3"/>
          </reference>
        </references>
      </pivotArea>
    </chartFormat>
    <chartFormat chart="8" format="8">
      <pivotArea type="data" outline="0" fieldPosition="0">
        <references count="2">
          <reference field="4294967294" count="1" selected="0">
            <x v="0"/>
          </reference>
          <reference field="2" count="1" selected="0">
            <x v="2"/>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Product Category">
  <location ref="A101:A102" firstHeaderRow="1" firstDataRow="1" firstDataCol="0"/>
  <pivotFields count="11">
    <pivotField showAll="0">
      <items count="10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t="default"/>
      </items>
    </pivotField>
    <pivotField showAll="0"/>
    <pivotField showAll="0">
      <items count="14">
        <item x="6"/>
        <item x="1"/>
        <item x="5"/>
        <item x="0"/>
        <item x="2"/>
        <item x="3"/>
        <item x="8"/>
        <item x="7"/>
        <item x="4"/>
        <item x="10"/>
        <item x="9"/>
        <item x="11"/>
        <item x="12"/>
        <item t="default"/>
      </items>
    </pivotField>
    <pivotField showAll="0">
      <items count="4">
        <item x="1"/>
        <item x="0"/>
        <item n="Other" x="2"/>
        <item t="default"/>
      </items>
    </pivotField>
    <pivotField showAll="0"/>
    <pivotField showAll="0">
      <items count="13">
        <item x="6"/>
        <item x="1"/>
        <item x="5"/>
        <item x="2"/>
        <item x="3"/>
        <item x="0"/>
        <item x="4"/>
        <item x="8"/>
        <item x="9"/>
        <item x="10"/>
        <item x="7"/>
        <item x="11"/>
        <item t="default"/>
      </items>
    </pivotField>
    <pivotField showAll="0">
      <items count="5">
        <item x="0"/>
        <item x="1"/>
        <item x="2"/>
        <item x="3"/>
        <item t="default"/>
      </items>
    </pivotField>
    <pivotField dataField="1" showAll="0">
      <items count="54">
        <item x="34"/>
        <item x="26"/>
        <item x="1"/>
        <item x="23"/>
        <item x="10"/>
        <item x="14"/>
        <item x="2"/>
        <item x="12"/>
        <item x="39"/>
        <item x="43"/>
        <item x="0"/>
        <item x="22"/>
        <item x="31"/>
        <item x="7"/>
        <item x="9"/>
        <item x="18"/>
        <item x="25"/>
        <item x="16"/>
        <item x="35"/>
        <item x="40"/>
        <item x="17"/>
        <item x="15"/>
        <item x="5"/>
        <item x="11"/>
        <item x="13"/>
        <item x="6"/>
        <item x="28"/>
        <item x="8"/>
        <item x="51"/>
        <item x="20"/>
        <item x="29"/>
        <item x="4"/>
        <item x="32"/>
        <item x="33"/>
        <item x="30"/>
        <item x="27"/>
        <item x="19"/>
        <item x="42"/>
        <item x="50"/>
        <item x="38"/>
        <item x="3"/>
        <item x="45"/>
        <item x="24"/>
        <item x="44"/>
        <item x="49"/>
        <item x="21"/>
        <item x="48"/>
        <item x="37"/>
        <item x="46"/>
        <item x="47"/>
        <item x="41"/>
        <item x="36"/>
        <item x="52"/>
        <item t="default"/>
      </items>
    </pivotField>
    <pivotField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x="94"/>
        <item x="133"/>
        <item x="162"/>
        <item x="183"/>
        <item x="227"/>
        <item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Items count="1">
    <i/>
  </rowItems>
  <colItems count="1">
    <i/>
  </colItems>
  <dataFields count="1">
    <dataField name="Sum of Total Value" fld="7"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Unit Price">
  <location ref="A3:B16" firstHeaderRow="1" firstDataRow="1" firstDataCol="1"/>
  <pivotFields count="11">
    <pivotField showAll="0"/>
    <pivotField showAll="0"/>
    <pivotField showAll="0">
      <items count="14">
        <item x="6"/>
        <item x="1"/>
        <item x="5"/>
        <item x="0"/>
        <item x="2"/>
        <item x="3"/>
        <item x="8"/>
        <item x="7"/>
        <item x="4"/>
        <item x="10"/>
        <item x="9"/>
        <item x="11"/>
        <item x="12"/>
        <item t="default"/>
      </items>
    </pivotField>
    <pivotField showAll="0"/>
    <pivotField showAll="0"/>
    <pivotField axis="axisRow" showAll="0">
      <items count="13">
        <item x="6"/>
        <item x="1"/>
        <item x="5"/>
        <item x="2"/>
        <item x="3"/>
        <item x="0"/>
        <item x="4"/>
        <item x="8"/>
        <item x="9"/>
        <item x="10"/>
        <item x="7"/>
        <item n="other" x="11"/>
        <item t="default"/>
      </items>
    </pivotField>
    <pivotField dataField="1" showAll="0">
      <items count="5">
        <item x="0"/>
        <item x="1"/>
        <item x="2"/>
        <item x="3"/>
        <item t="default"/>
      </items>
    </pivotField>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unt of Discount" fld="6" subtotal="count" showDataAs="percentOfCol" baseField="5"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duct Category">
  <location ref="A42:B46" firstHeaderRow="1" firstDataRow="1" firstDataCol="1"/>
  <pivotFields count="11">
    <pivotField showAll="0">
      <items count="10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t="default"/>
      </items>
    </pivotField>
    <pivotField showAll="0"/>
    <pivotField showAll="0"/>
    <pivotField axis="axisRow" showAll="0">
      <items count="4">
        <item x="1"/>
        <item x="0"/>
        <item n="Other" x="2"/>
        <item t="default"/>
      </items>
    </pivotField>
    <pivotField showAll="0">
      <items count="6">
        <item x="0"/>
        <item x="3"/>
        <item x="2"/>
        <item x="1"/>
        <item x="4"/>
        <item t="default"/>
      </items>
    </pivotField>
    <pivotField showAll="0">
      <items count="13">
        <item x="6"/>
        <item x="1"/>
        <item x="5"/>
        <item x="2"/>
        <item x="3"/>
        <item x="0"/>
        <item x="4"/>
        <item x="8"/>
        <item x="9"/>
        <item x="10"/>
        <item x="7"/>
        <item x="11"/>
        <item t="default"/>
      </items>
    </pivotField>
    <pivotField showAll="0">
      <items count="5">
        <item x="0"/>
        <item x="1"/>
        <item x="2"/>
        <item x="3"/>
        <item t="default"/>
      </items>
    </pivotField>
    <pivotField dataField="1" showAll="0">
      <items count="54">
        <item x="34"/>
        <item x="26"/>
        <item x="1"/>
        <item x="23"/>
        <item x="10"/>
        <item x="14"/>
        <item x="2"/>
        <item x="12"/>
        <item x="39"/>
        <item x="43"/>
        <item x="0"/>
        <item x="22"/>
        <item x="31"/>
        <item x="7"/>
        <item x="9"/>
        <item x="18"/>
        <item x="25"/>
        <item x="16"/>
        <item x="35"/>
        <item x="40"/>
        <item x="17"/>
        <item x="15"/>
        <item x="5"/>
        <item x="11"/>
        <item x="13"/>
        <item x="6"/>
        <item x="28"/>
        <item x="8"/>
        <item x="51"/>
        <item x="20"/>
        <item x="29"/>
        <item x="4"/>
        <item x="32"/>
        <item x="33"/>
        <item x="30"/>
        <item x="27"/>
        <item x="19"/>
        <item x="42"/>
        <item x="50"/>
        <item x="38"/>
        <item x="3"/>
        <item x="45"/>
        <item x="24"/>
        <item x="44"/>
        <item x="49"/>
        <item x="21"/>
        <item x="48"/>
        <item x="37"/>
        <item x="46"/>
        <item x="47"/>
        <item x="41"/>
        <item x="36"/>
        <item x="52"/>
        <item t="default"/>
      </items>
    </pivotField>
    <pivotField showAll="0">
      <items count="259">
        <item x="9"/>
        <item x="205"/>
        <item x="228"/>
        <item x="70"/>
        <item x="95"/>
        <item x="115"/>
        <item x="134"/>
        <item x="163"/>
        <item x="184"/>
        <item x="206"/>
        <item x="229"/>
        <item x="248"/>
        <item x="47"/>
        <item x="71"/>
        <item x="96"/>
        <item x="135"/>
        <item x="10"/>
        <item x="207"/>
        <item x="230"/>
        <item x="28"/>
        <item x="48"/>
        <item x="97"/>
        <item x="116"/>
        <item x="136"/>
        <item x="164"/>
        <item x="185"/>
        <item x="208"/>
        <item x="231"/>
        <item x="249"/>
        <item x="49"/>
        <item x="72"/>
        <item x="98"/>
        <item x="117"/>
        <item x="137"/>
        <item x="186"/>
        <item x="11"/>
        <item x="209"/>
        <item x="232"/>
        <item x="29"/>
        <item x="50"/>
        <item x="73"/>
        <item x="99"/>
        <item x="138"/>
        <item x="165"/>
        <item x="187"/>
        <item x="12"/>
        <item x="210"/>
        <item x="233"/>
        <item x="250"/>
        <item x="30"/>
        <item x="51"/>
        <item x="74"/>
        <item x="118"/>
        <item x="139"/>
        <item x="166"/>
        <item x="188"/>
        <item x="211"/>
        <item x="234"/>
        <item x="251"/>
        <item x="31"/>
        <item x="75"/>
        <item x="140"/>
        <item x="167"/>
        <item x="189"/>
        <item x="13"/>
        <item x="212"/>
        <item x="235"/>
        <item x="252"/>
        <item x="32"/>
        <item x="52"/>
        <item x="76"/>
        <item x="100"/>
        <item x="119"/>
        <item x="141"/>
        <item x="168"/>
        <item x="190"/>
        <item x="213"/>
        <item x="236"/>
        <item x="253"/>
        <item x="33"/>
        <item x="53"/>
        <item x="101"/>
        <item x="120"/>
        <item x="142"/>
        <item x="169"/>
        <item x="14"/>
        <item x="237"/>
        <item x="254"/>
        <item x="34"/>
        <item x="54"/>
        <item x="77"/>
        <item x="143"/>
        <item x="15"/>
        <item x="35"/>
        <item x="55"/>
        <item x="78"/>
        <item x="102"/>
        <item x="121"/>
        <item x="144"/>
        <item x="170"/>
        <item x="238"/>
        <item x="255"/>
        <item x="56"/>
        <item x="79"/>
        <item x="103"/>
        <item x="122"/>
        <item x="145"/>
        <item x="191"/>
        <item x="16"/>
        <item x="214"/>
        <item x="239"/>
        <item x="80"/>
        <item x="123"/>
        <item x="146"/>
        <item x="192"/>
        <item x="17"/>
        <item x="215"/>
        <item x="36"/>
        <item x="57"/>
        <item x="81"/>
        <item x="124"/>
        <item x="147"/>
        <item x="171"/>
        <item x="193"/>
        <item x="18"/>
        <item x="216"/>
        <item x="240"/>
        <item x="256"/>
        <item x="37"/>
        <item x="58"/>
        <item x="82"/>
        <item x="104"/>
        <item x="125"/>
        <item x="148"/>
        <item x="172"/>
        <item x="194"/>
        <item x="217"/>
        <item x="38"/>
        <item x="83"/>
        <item x="126"/>
        <item x="149"/>
        <item x="195"/>
        <item x="19"/>
        <item x="59"/>
        <item x="105"/>
        <item x="127"/>
        <item x="150"/>
        <item x="173"/>
        <item x="196"/>
        <item x="20"/>
        <item x="218"/>
        <item x="241"/>
        <item x="60"/>
        <item x="84"/>
        <item x="106"/>
        <item x="128"/>
        <item x="151"/>
        <item x="197"/>
        <item x="21"/>
        <item x="61"/>
        <item x="107"/>
        <item x="152"/>
        <item x="0"/>
        <item x="39"/>
        <item x="62"/>
        <item x="85"/>
        <item x="108"/>
        <item x="129"/>
        <item x="153"/>
        <item x="174"/>
        <item x="198"/>
        <item x="242"/>
        <item x="63"/>
        <item x="86"/>
        <item x="109"/>
        <item x="154"/>
        <item x="175"/>
        <item x="199"/>
        <item x="219"/>
        <item x="1"/>
        <item x="22"/>
        <item x="87"/>
        <item x="155"/>
        <item x="176"/>
        <item x="200"/>
        <item x="243"/>
        <item x="2"/>
        <item x="64"/>
        <item x="88"/>
        <item x="110"/>
        <item x="201"/>
        <item x="220"/>
        <item x="244"/>
        <item x="3"/>
        <item x="40"/>
        <item x="111"/>
        <item x="130"/>
        <item x="177"/>
        <item x="221"/>
        <item x="245"/>
        <item x="4"/>
        <item x="23"/>
        <item x="41"/>
        <item x="89"/>
        <item x="112"/>
        <item x="156"/>
        <item x="178"/>
        <item x="202"/>
        <item x="246"/>
        <item x="24"/>
        <item x="42"/>
        <item x="65"/>
        <item x="90"/>
        <item x="157"/>
        <item x="179"/>
        <item x="222"/>
        <item x="247"/>
        <item x="25"/>
        <item x="66"/>
        <item x="113"/>
        <item x="131"/>
        <item x="158"/>
        <item x="180"/>
        <item x="203"/>
        <item x="223"/>
        <item x="5"/>
        <item x="26"/>
        <item x="43"/>
        <item x="67"/>
        <item x="91"/>
        <item x="114"/>
        <item x="159"/>
        <item x="224"/>
        <item x="6"/>
        <item x="44"/>
        <item x="68"/>
        <item x="92"/>
        <item x="160"/>
        <item x="181"/>
        <item x="225"/>
        <item x="7"/>
        <item x="45"/>
        <item x="69"/>
        <item x="93"/>
        <item x="132"/>
        <item x="161"/>
        <item x="182"/>
        <item x="204"/>
        <item x="226"/>
        <item x="8"/>
        <item x="27"/>
        <item x="46"/>
        <item x="94"/>
        <item x="133"/>
        <item x="162"/>
        <item x="183"/>
        <item x="227"/>
        <item x="257"/>
        <item t="default"/>
      </items>
    </pivotField>
    <pivotField showAll="0">
      <items count="268">
        <item x="196"/>
        <item x="219"/>
        <item x="18"/>
        <item x="36"/>
        <item x="62"/>
        <item x="86"/>
        <item x="131"/>
        <item x="152"/>
        <item x="173"/>
        <item x="1"/>
        <item x="226"/>
        <item x="251"/>
        <item x="41"/>
        <item x="69"/>
        <item x="93"/>
        <item x="116"/>
        <item x="157"/>
        <item x="182"/>
        <item x="225"/>
        <item x="253"/>
        <item x="23"/>
        <item x="46"/>
        <item x="71"/>
        <item x="135"/>
        <item x="159"/>
        <item x="5"/>
        <item x="205"/>
        <item x="228"/>
        <item x="43"/>
        <item x="117"/>
        <item x="134"/>
        <item x="158"/>
        <item x="206"/>
        <item x="229"/>
        <item x="24"/>
        <item x="48"/>
        <item x="74"/>
        <item x="94"/>
        <item x="163"/>
        <item x="184"/>
        <item x="7"/>
        <item x="207"/>
        <item x="232"/>
        <item x="25"/>
        <item x="45"/>
        <item x="72"/>
        <item x="95"/>
        <item x="118"/>
        <item x="136"/>
        <item x="165"/>
        <item x="183"/>
        <item x="9"/>
        <item x="235"/>
        <item x="47"/>
        <item x="70"/>
        <item x="96"/>
        <item x="138"/>
        <item x="161"/>
        <item x="185"/>
        <item x="6"/>
        <item x="208"/>
        <item x="230"/>
        <item x="26"/>
        <item x="49"/>
        <item x="73"/>
        <item x="98"/>
        <item x="162"/>
        <item x="187"/>
        <item x="8"/>
        <item x="231"/>
        <item x="28"/>
        <item x="50"/>
        <item x="75"/>
        <item x="97"/>
        <item x="119"/>
        <item x="137"/>
        <item x="166"/>
        <item x="186"/>
        <item x="233"/>
        <item x="260"/>
        <item x="27"/>
        <item x="51"/>
        <item x="101"/>
        <item x="120"/>
        <item x="142"/>
        <item x="188"/>
        <item x="10"/>
        <item x="234"/>
        <item x="258"/>
        <item x="52"/>
        <item x="76"/>
        <item x="99"/>
        <item x="139"/>
        <item x="164"/>
        <item x="200"/>
        <item x="221"/>
        <item x="60"/>
        <item x="87"/>
        <item x="108"/>
        <item x="132"/>
        <item x="151"/>
        <item x="175"/>
        <item x="11"/>
        <item x="209"/>
        <item x="237"/>
        <item x="259"/>
        <item x="33"/>
        <item x="77"/>
        <item x="100"/>
        <item x="140"/>
        <item x="167"/>
        <item x="189"/>
        <item x="210"/>
        <item x="239"/>
        <item x="255"/>
        <item x="29"/>
        <item x="55"/>
        <item x="78"/>
        <item x="124"/>
        <item x="141"/>
        <item x="191"/>
        <item x="12"/>
        <item x="212"/>
        <item x="236"/>
        <item x="257"/>
        <item x="30"/>
        <item x="53"/>
        <item x="122"/>
        <item x="143"/>
        <item x="168"/>
        <item x="190"/>
        <item x="214"/>
        <item x="238"/>
        <item x="256"/>
        <item x="34"/>
        <item x="54"/>
        <item x="80"/>
        <item x="102"/>
        <item x="121"/>
        <item x="144"/>
        <item x="169"/>
        <item x="192"/>
        <item x="13"/>
        <item x="215"/>
        <item x="262"/>
        <item x="32"/>
        <item x="79"/>
        <item x="103"/>
        <item x="125"/>
        <item x="145"/>
        <item x="194"/>
        <item x="16"/>
        <item x="211"/>
        <item x="241"/>
        <item x="261"/>
        <item x="31"/>
        <item x="56"/>
        <item x="81"/>
        <item x="105"/>
        <item x="123"/>
        <item x="147"/>
        <item x="172"/>
        <item x="193"/>
        <item x="213"/>
        <item x="240"/>
        <item x="263"/>
        <item x="57"/>
        <item x="85"/>
        <item x="106"/>
        <item x="171"/>
        <item x="14"/>
        <item x="242"/>
        <item x="264"/>
        <item x="84"/>
        <item x="146"/>
        <item x="170"/>
        <item x="195"/>
        <item x="216"/>
        <item x="244"/>
        <item x="35"/>
        <item x="58"/>
        <item x="83"/>
        <item x="104"/>
        <item x="127"/>
        <item x="174"/>
        <item x="197"/>
        <item x="15"/>
        <item x="220"/>
        <item x="243"/>
        <item x="265"/>
        <item x="59"/>
        <item x="82"/>
        <item x="128"/>
        <item x="149"/>
        <item x="201"/>
        <item x="198"/>
        <item x="222"/>
        <item x="246"/>
        <item x="61"/>
        <item x="90"/>
        <item x="112"/>
        <item x="129"/>
        <item x="153"/>
        <item x="17"/>
        <item x="218"/>
        <item x="245"/>
        <item x="89"/>
        <item x="107"/>
        <item x="126"/>
        <item x="150"/>
        <item x="199"/>
        <item x="19"/>
        <item x="217"/>
        <item x="63"/>
        <item x="111"/>
        <item x="148"/>
        <item x="176"/>
        <item x="249"/>
        <item x="21"/>
        <item x="38"/>
        <item x="109"/>
        <item x="130"/>
        <item x="181"/>
        <item x="0"/>
        <item x="202"/>
        <item x="223"/>
        <item x="248"/>
        <item x="20"/>
        <item x="37"/>
        <item x="64"/>
        <item x="88"/>
        <item x="110"/>
        <item x="155"/>
        <item x="177"/>
        <item x="4"/>
        <item x="203"/>
        <item x="250"/>
        <item x="22"/>
        <item x="39"/>
        <item x="65"/>
        <item x="92"/>
        <item x="133"/>
        <item x="154"/>
        <item x="3"/>
        <item x="224"/>
        <item x="247"/>
        <item x="40"/>
        <item x="67"/>
        <item x="114"/>
        <item x="156"/>
        <item x="178"/>
        <item x="204"/>
        <item x="227"/>
        <item x="252"/>
        <item x="42"/>
        <item x="66"/>
        <item x="91"/>
        <item x="113"/>
        <item x="179"/>
        <item x="2"/>
        <item x="254"/>
        <item x="44"/>
        <item x="68"/>
        <item x="115"/>
        <item x="160"/>
        <item x="180"/>
        <item x="266"/>
        <item t="default"/>
      </items>
    </pivotField>
    <pivotField showAll="0"/>
  </pivotFields>
  <rowFields count="1">
    <field x="3"/>
  </rowFields>
  <rowItems count="4">
    <i>
      <x/>
    </i>
    <i>
      <x v="1"/>
    </i>
    <i>
      <x v="2"/>
    </i>
    <i t="grand">
      <x/>
    </i>
  </rowItems>
  <colItems count="1">
    <i/>
  </colItems>
  <dataFields count="1">
    <dataField name="Sum of Total Value" fld="7" baseField="3"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Name" sourceName="Product Name">
  <pivotTables>
    <pivotTable tabId="8" name="PivotTable2"/>
    <pivotTable tabId="6" name="PivotTable2"/>
    <pivotTable tabId="6" name="PivotTable4"/>
  </pivotTables>
  <data>
    <tabular pivotCacheId="1">
      <items count="13">
        <i x="6" s="1"/>
        <i x="1" s="1"/>
        <i x="5" s="1"/>
        <i x="0" s="1"/>
        <i x="2" s="1"/>
        <i x="3" s="1"/>
        <i x="8" s="1"/>
        <i x="7" s="1"/>
        <i x="4" s="1"/>
        <i x="10" s="1"/>
        <i x="9"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6" name="PivotTable7"/>
  </pivotTables>
  <data>
    <tabular pivotCacheId="1">
      <items count="3">
        <i x="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nit_Price" sourceName="Unit Price">
  <pivotTables>
    <pivotTable tabId="6" name="PivotTable7"/>
  </pivotTables>
  <data>
    <tabular pivotCacheId="1">
      <items count="12">
        <i x="6" s="1"/>
        <i x="5" s="1"/>
        <i x="2" s="1"/>
        <i x="3" s="1"/>
        <i x="0" s="1"/>
        <i x="4" s="1"/>
        <i x="9" s="1"/>
        <i x="1" s="1" nd="1"/>
        <i x="8" s="1" nd="1"/>
        <i x="10" s="1" nd="1"/>
        <i x="7" s="1" nd="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iscount" sourceName="Discount">
  <pivotTables>
    <pivotTable tabId="6" name="PivotTable7"/>
  </pivotTables>
  <data>
    <tabular pivotCacheId="1">
      <items count="4">
        <i x="0"/>
        <i x="1"/>
        <i x="2" s="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otal_Value" sourceName="Total Value">
  <pivotTables>
    <pivotTable tabId="6" name="PivotTable7"/>
  </pivotTables>
  <data>
    <tabular pivotCacheId="1">
      <items count="53">
        <i x="34" s="1"/>
        <i x="23" s="1"/>
        <i x="10" s="1"/>
        <i x="14" s="1"/>
        <i x="39" s="1"/>
        <i x="0" s="1"/>
        <i x="31" s="1"/>
        <i x="18" s="1"/>
        <i x="17" s="1"/>
        <i x="6" s="1"/>
        <i x="8" s="1"/>
        <i x="29" s="1"/>
        <i x="33" s="1"/>
        <i x="45" s="1"/>
        <i x="47" s="1"/>
        <i x="26" s="1" nd="1"/>
        <i x="1" s="1" nd="1"/>
        <i x="2" s="1" nd="1"/>
        <i x="12" s="1" nd="1"/>
        <i x="43" s="1" nd="1"/>
        <i x="22" s="1" nd="1"/>
        <i x="7" s="1" nd="1"/>
        <i x="9" s="1" nd="1"/>
        <i x="25" s="1" nd="1"/>
        <i x="16" s="1" nd="1"/>
        <i x="35" s="1" nd="1"/>
        <i x="40" s="1" nd="1"/>
        <i x="15" s="1" nd="1"/>
        <i x="5" s="1" nd="1"/>
        <i x="11" s="1" nd="1"/>
        <i x="13" s="1" nd="1"/>
        <i x="28" s="1" nd="1"/>
        <i x="51" s="1" nd="1"/>
        <i x="20" s="1" nd="1"/>
        <i x="4" s="1" nd="1"/>
        <i x="32" s="1" nd="1"/>
        <i x="30" s="1" nd="1"/>
        <i x="27" s="1" nd="1"/>
        <i x="19" s="1" nd="1"/>
        <i x="42" s="1" nd="1"/>
        <i x="50" s="1" nd="1"/>
        <i x="38" s="1" nd="1"/>
        <i x="3" s="1" nd="1"/>
        <i x="24" s="1" nd="1"/>
        <i x="44" s="1" nd="1"/>
        <i x="49" s="1" nd="1"/>
        <i x="21" s="1" nd="1"/>
        <i x="48" s="1" nd="1"/>
        <i x="37" s="1" nd="1"/>
        <i x="46" s="1" nd="1"/>
        <i x="41" s="1" nd="1"/>
        <i x="36" s="1" nd="1"/>
        <i x="5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data>
    <tabular pivotCacheId="2">
      <items count="14">
        <i x="1" s="1"/>
        <i x="2" s="1"/>
        <i x="3" s="1"/>
        <i x="4" s="1"/>
        <i x="5" s="1"/>
        <i x="6" s="1"/>
        <i x="7" s="1"/>
        <i x="8" s="1"/>
        <i x="9" s="1"/>
        <i x="10" s="1"/>
        <i x="11" s="1"/>
        <i x="12" s="1"/>
        <i x="0" s="1" nd="1"/>
        <i x="13"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Quantity" sourceName="Quantity">
  <pivotTables>
    <pivotTable tabId="6" name="PivotTable6"/>
  </pivotTables>
  <data>
    <tabular pivotCacheId="1">
      <items count="5">
        <i x="0" s="1"/>
        <i x="3" s="1"/>
        <i x="2"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Name" cache="Slicer_Product_Name" caption="Product Name" startItem="5" rowHeight="241300"/>
  <slicer name="Product Category" cache="Slicer_Product_Category" caption="Product Category" rowHeight="241300"/>
  <slicer name="Unit Price" cache="Slicer_Unit_Price" caption="Unit Price" rowHeight="241300"/>
  <slicer name="Discount" cache="Slicer_Discount" caption="Discount" startItem="1" rowHeight="241300"/>
  <slicer name="Total Value" cache="Slicer_Total_Value" caption="Total Value" startItem="14" rowHeight="241300"/>
  <slicer name="Order Date 1" cache="Slicer_Order_Date" caption="Timeline (2023)" style="SlicerStyleOther2" rowHeight="241300"/>
  <slicer name="Quantity" cache="Slicer_Quantity" caption="Quantity" startItem="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B19"/>
  <sheetViews>
    <sheetView workbookViewId="0">
      <selection activeCell="J7" sqref="J7"/>
    </sheetView>
  </sheetViews>
  <sheetFormatPr defaultRowHeight="15" x14ac:dyDescent="0.25"/>
  <cols>
    <col min="1" max="1" width="22.28515625" bestFit="1" customWidth="1"/>
    <col min="2" max="2" width="19.28515625" customWidth="1"/>
    <col min="3" max="3" width="10.140625" customWidth="1"/>
    <col min="4" max="10" width="9.140625" customWidth="1"/>
    <col min="11" max="11" width="10.140625" customWidth="1"/>
    <col min="12" max="13" width="11.140625" customWidth="1"/>
    <col min="14" max="19" width="10.140625" customWidth="1"/>
    <col min="20" max="21" width="11.140625" customWidth="1"/>
    <col min="22" max="27" width="10.140625" customWidth="1"/>
    <col min="28" max="29" width="11.140625" customWidth="1"/>
    <col min="30" max="33" width="10.140625" customWidth="1"/>
    <col min="34" max="35" width="11.140625" customWidth="1"/>
    <col min="36" max="42" width="10.140625" customWidth="1"/>
    <col min="43" max="44" width="11.140625" customWidth="1"/>
    <col min="45" max="53" width="10.140625" customWidth="1"/>
    <col min="54" max="54" width="11.140625" customWidth="1"/>
    <col min="55" max="61" width="10.140625" customWidth="1"/>
    <col min="62" max="63" width="11.140625" customWidth="1"/>
    <col min="64" max="70" width="10.140625" customWidth="1"/>
    <col min="71" max="71" width="11.140625" customWidth="1"/>
    <col min="72" max="79" width="10.140625" customWidth="1"/>
    <col min="80" max="81" width="11.140625" customWidth="1"/>
    <col min="82" max="88" width="10.140625" customWidth="1"/>
    <col min="89" max="90" width="11.140625" customWidth="1"/>
    <col min="91" max="97" width="10.140625" customWidth="1"/>
    <col min="98" max="103" width="9.140625" customWidth="1"/>
    <col min="104" max="104" width="10.140625" customWidth="1"/>
    <col min="105" max="107" width="11.140625" customWidth="1"/>
    <col min="108" max="113" width="10.140625" customWidth="1"/>
    <col min="114" max="116" width="11.140625" customWidth="1"/>
    <col min="117" max="123" width="10.140625" customWidth="1"/>
    <col min="124" max="126" width="11.140625" customWidth="1"/>
    <col min="127" max="132" width="10.140625" customWidth="1"/>
    <col min="133" max="135" width="11.140625" customWidth="1"/>
    <col min="136" max="144" width="10.140625" customWidth="1"/>
    <col min="145" max="146" width="11.140625" customWidth="1"/>
    <col min="147" max="153" width="10.140625" customWidth="1"/>
    <col min="154" max="156" width="11.140625" customWidth="1"/>
    <col min="157" max="164" width="10.140625" customWidth="1"/>
    <col min="165" max="167" width="11.140625" customWidth="1"/>
    <col min="168" max="172" width="10.140625" customWidth="1"/>
    <col min="173" max="174" width="11.140625" customWidth="1"/>
    <col min="175" max="178" width="10.140625" customWidth="1"/>
    <col min="179" max="180" width="11.140625" customWidth="1"/>
    <col min="181" max="188" width="10.140625" customWidth="1"/>
    <col min="189" max="191" width="11.140625" customWidth="1"/>
    <col min="192" max="199" width="10.140625" customWidth="1"/>
    <col min="200" max="204" width="9.140625" customWidth="1"/>
    <col min="205" max="205" width="10.140625" customWidth="1"/>
    <col min="206" max="207" width="11.140625" customWidth="1"/>
    <col min="208" max="213" width="10.140625" customWidth="1"/>
    <col min="214" max="214" width="11.140625" customWidth="1"/>
    <col min="215" max="219" width="10.140625" customWidth="1"/>
    <col min="220" max="225" width="9.140625" customWidth="1"/>
    <col min="226" max="228" width="10.140625" customWidth="1"/>
    <col min="229" max="236" width="9.140625" customWidth="1"/>
    <col min="237" max="238" width="10.140625" customWidth="1"/>
    <col min="239" max="245" width="9.140625" customWidth="1"/>
    <col min="246" max="247" width="10.140625" customWidth="1"/>
    <col min="248" max="252" width="9.140625" customWidth="1"/>
    <col min="253" max="255" width="10.140625" customWidth="1"/>
    <col min="256" max="261" width="9.140625" customWidth="1"/>
    <col min="262" max="262" width="10.140625" customWidth="1"/>
    <col min="263" max="267" width="9.140625" customWidth="1"/>
    <col min="268" max="268" width="7.28515625" customWidth="1"/>
    <col min="269" max="269" width="11.28515625" customWidth="1"/>
    <col min="270" max="270" width="15.140625" bestFit="1" customWidth="1"/>
    <col min="271" max="271" width="12" bestFit="1" customWidth="1"/>
    <col min="272" max="272" width="15.140625" bestFit="1" customWidth="1"/>
    <col min="273" max="274" width="20.85546875" bestFit="1" customWidth="1"/>
    <col min="275" max="275" width="15.140625" bestFit="1" customWidth="1"/>
    <col min="276" max="277" width="13" bestFit="1" customWidth="1"/>
    <col min="278" max="278" width="16.140625" bestFit="1" customWidth="1"/>
    <col min="279" max="279" width="13" bestFit="1" customWidth="1"/>
    <col min="280" max="280" width="16.140625" bestFit="1" customWidth="1"/>
    <col min="281" max="281" width="20.85546875" bestFit="1" customWidth="1"/>
    <col min="282" max="282" width="16.140625" bestFit="1" customWidth="1"/>
    <col min="283" max="284" width="12" bestFit="1" customWidth="1"/>
    <col min="285" max="285" width="15.140625" bestFit="1" customWidth="1"/>
    <col min="286" max="286" width="12" bestFit="1" customWidth="1"/>
    <col min="287" max="287" width="15.140625" bestFit="1" customWidth="1"/>
    <col min="288" max="289" width="12" bestFit="1" customWidth="1"/>
    <col min="290" max="290" width="15.140625" bestFit="1" customWidth="1"/>
    <col min="291" max="291" width="20.85546875" bestFit="1" customWidth="1"/>
    <col min="292" max="292" width="15.140625" bestFit="1" customWidth="1"/>
    <col min="293" max="293" width="16.28515625" bestFit="1" customWidth="1"/>
    <col min="294" max="294" width="15.140625" bestFit="1" customWidth="1"/>
    <col min="295" max="297" width="20.85546875" bestFit="1" customWidth="1"/>
    <col min="298" max="298" width="15.140625" bestFit="1" customWidth="1"/>
    <col min="299" max="300" width="20.85546875" bestFit="1" customWidth="1"/>
    <col min="301" max="301" width="15.140625" bestFit="1" customWidth="1"/>
    <col min="302" max="302" width="13" bestFit="1" customWidth="1"/>
    <col min="303" max="303" width="16.140625" bestFit="1" customWidth="1"/>
    <col min="304" max="304" width="16.42578125" bestFit="1" customWidth="1"/>
    <col min="305" max="305" width="16.140625" bestFit="1" customWidth="1"/>
    <col min="306" max="307" width="13" bestFit="1" customWidth="1"/>
    <col min="308" max="308" width="16.140625" bestFit="1" customWidth="1"/>
    <col min="309" max="309" width="12" bestFit="1" customWidth="1"/>
    <col min="310" max="310" width="15.140625" bestFit="1" customWidth="1"/>
    <col min="311" max="312" width="20.85546875" bestFit="1" customWidth="1"/>
    <col min="313" max="313" width="15.140625" bestFit="1" customWidth="1"/>
    <col min="314" max="314" width="12" bestFit="1" customWidth="1"/>
    <col min="315" max="315" width="15.140625" bestFit="1" customWidth="1"/>
    <col min="316" max="318" width="20.85546875" bestFit="1" customWidth="1"/>
    <col min="319" max="319" width="15.140625" bestFit="1" customWidth="1"/>
    <col min="320" max="321" width="12" bestFit="1" customWidth="1"/>
    <col min="322" max="322" width="15.140625" bestFit="1" customWidth="1"/>
    <col min="323" max="324" width="20.85546875" bestFit="1" customWidth="1"/>
    <col min="325" max="325" width="15.140625" bestFit="1" customWidth="1"/>
    <col min="326" max="326" width="13" bestFit="1" customWidth="1"/>
    <col min="327" max="327" width="16.140625" bestFit="1" customWidth="1"/>
    <col min="328" max="328" width="13" bestFit="1" customWidth="1"/>
    <col min="329" max="329" width="16.140625" bestFit="1" customWidth="1"/>
    <col min="330" max="331" width="20.85546875" bestFit="1" customWidth="1"/>
    <col min="332" max="332" width="16.140625" bestFit="1" customWidth="1"/>
    <col min="333" max="333" width="20.85546875" bestFit="1" customWidth="1"/>
    <col min="334" max="334" width="15.140625" bestFit="1" customWidth="1"/>
    <col min="335" max="335" width="12" bestFit="1" customWidth="1"/>
    <col min="336" max="336" width="15.140625" bestFit="1" customWidth="1"/>
    <col min="337" max="337" width="20.85546875" bestFit="1" customWidth="1"/>
    <col min="338" max="338" width="15.140625" bestFit="1" customWidth="1"/>
    <col min="339" max="340" width="12" bestFit="1" customWidth="1"/>
    <col min="341" max="341" width="15.140625" bestFit="1" customWidth="1"/>
    <col min="342" max="342" width="12" bestFit="1" customWidth="1"/>
    <col min="343" max="343" width="15.140625" bestFit="1" customWidth="1"/>
    <col min="344" max="346" width="20.85546875" bestFit="1" customWidth="1"/>
    <col min="347" max="347" width="15.140625" bestFit="1" customWidth="1"/>
    <col min="348" max="348" width="12" bestFit="1" customWidth="1"/>
    <col min="349" max="349" width="15.140625" bestFit="1" customWidth="1"/>
    <col min="350" max="351" width="20.85546875" bestFit="1" customWidth="1"/>
    <col min="352" max="352" width="15.140625" bestFit="1" customWidth="1"/>
    <col min="353" max="353" width="20.85546875" bestFit="1" customWidth="1"/>
    <col min="354" max="354" width="15.140625" bestFit="1" customWidth="1"/>
    <col min="355" max="355" width="13" bestFit="1" customWidth="1"/>
    <col min="356" max="356" width="16.140625" bestFit="1" customWidth="1"/>
    <col min="357" max="358" width="13.140625" bestFit="1" customWidth="1"/>
    <col min="359" max="359" width="16.140625" bestFit="1" customWidth="1"/>
    <col min="360" max="360" width="12" bestFit="1" customWidth="1"/>
    <col min="361" max="361" width="15.140625" bestFit="1" customWidth="1"/>
    <col min="362" max="363" width="20.85546875" bestFit="1" customWidth="1"/>
    <col min="364" max="364" width="15.140625" bestFit="1" customWidth="1"/>
    <col min="365" max="365" width="12" bestFit="1" customWidth="1"/>
    <col min="366" max="366" width="15.140625" bestFit="1" customWidth="1"/>
    <col min="367" max="368" width="20.85546875" bestFit="1" customWidth="1"/>
    <col min="369" max="369" width="15.140625" bestFit="1" customWidth="1"/>
    <col min="370" max="371" width="20.85546875" bestFit="1" customWidth="1"/>
    <col min="372" max="372" width="15.140625" bestFit="1" customWidth="1"/>
    <col min="373" max="373" width="12" bestFit="1" customWidth="1"/>
    <col min="374" max="374" width="15.140625" bestFit="1" customWidth="1"/>
    <col min="375" max="375" width="12" bestFit="1" customWidth="1"/>
    <col min="376" max="376" width="15.140625" bestFit="1" customWidth="1"/>
    <col min="377" max="379" width="13" bestFit="1" customWidth="1"/>
    <col min="380" max="380" width="16.140625" bestFit="1" customWidth="1"/>
    <col min="381" max="382" width="16.28515625" bestFit="1" customWidth="1"/>
    <col min="383" max="383" width="16.140625" bestFit="1" customWidth="1"/>
    <col min="384" max="384" width="13" bestFit="1" customWidth="1"/>
    <col min="385" max="385" width="16.140625" bestFit="1" customWidth="1"/>
    <col min="386" max="387" width="20.85546875" bestFit="1" customWidth="1"/>
    <col min="388" max="388" width="15.140625" bestFit="1" customWidth="1"/>
    <col min="389" max="390" width="12" bestFit="1" customWidth="1"/>
    <col min="391" max="391" width="15.140625" bestFit="1" customWidth="1"/>
    <col min="392" max="392" width="13.28515625" bestFit="1" customWidth="1"/>
    <col min="393" max="393" width="15.140625" bestFit="1" customWidth="1"/>
    <col min="394" max="395" width="20.85546875" bestFit="1" customWidth="1"/>
    <col min="396" max="396" width="15.140625" bestFit="1" customWidth="1"/>
    <col min="397" max="399" width="20.85546875" bestFit="1" customWidth="1"/>
    <col min="400" max="400" width="15.140625" bestFit="1" customWidth="1"/>
    <col min="401" max="401" width="12" bestFit="1" customWidth="1"/>
    <col min="402" max="402" width="15.140625" bestFit="1" customWidth="1"/>
    <col min="403" max="403" width="12" bestFit="1" customWidth="1"/>
    <col min="404" max="404" width="15.140625" bestFit="1" customWidth="1"/>
    <col min="405" max="405" width="12" bestFit="1" customWidth="1"/>
    <col min="406" max="406" width="15.140625" bestFit="1" customWidth="1"/>
    <col min="407" max="407" width="13" bestFit="1" customWidth="1"/>
    <col min="408" max="408" width="16.140625" bestFit="1" customWidth="1"/>
    <col min="409" max="410" width="20.85546875" bestFit="1" customWidth="1"/>
    <col min="411" max="411" width="16.140625" bestFit="1" customWidth="1"/>
    <col min="412" max="414" width="20.85546875" bestFit="1" customWidth="1"/>
    <col min="415" max="415" width="16.140625" bestFit="1" customWidth="1"/>
    <col min="416" max="416" width="20.85546875" bestFit="1" customWidth="1"/>
    <col min="417" max="417" width="15.140625" bestFit="1" customWidth="1"/>
    <col min="418" max="418" width="12" bestFit="1" customWidth="1"/>
    <col min="419" max="419" width="15.140625" bestFit="1" customWidth="1"/>
    <col min="420" max="421" width="20.85546875" bestFit="1" customWidth="1"/>
    <col min="422" max="422" width="15.140625" bestFit="1" customWidth="1"/>
    <col min="423" max="423" width="12" bestFit="1" customWidth="1"/>
    <col min="424" max="424" width="15.140625" bestFit="1" customWidth="1"/>
    <col min="425" max="426" width="20.85546875" bestFit="1" customWidth="1"/>
    <col min="427" max="427" width="15.140625" bestFit="1" customWidth="1"/>
    <col min="428" max="429" width="13" bestFit="1" customWidth="1"/>
    <col min="430" max="430" width="16.140625" bestFit="1" customWidth="1"/>
    <col min="431" max="433" width="13" bestFit="1" customWidth="1"/>
    <col min="434" max="434" width="16.140625" bestFit="1" customWidth="1"/>
    <col min="435" max="435" width="16.42578125" bestFit="1" customWidth="1"/>
    <col min="436" max="436" width="15.140625" bestFit="1" customWidth="1"/>
    <col min="437" max="437" width="12" bestFit="1" customWidth="1"/>
    <col min="438" max="438" width="15.140625" bestFit="1" customWidth="1"/>
    <col min="439" max="440" width="20.85546875" bestFit="1" customWidth="1"/>
    <col min="441" max="441" width="15.140625" bestFit="1" customWidth="1"/>
    <col min="442" max="442" width="12" bestFit="1" customWidth="1"/>
    <col min="443" max="443" width="15.140625" bestFit="1" customWidth="1"/>
    <col min="444" max="445" width="13" bestFit="1" customWidth="1"/>
    <col min="446" max="446" width="16.140625" bestFit="1" customWidth="1"/>
    <col min="447" max="447" width="13" bestFit="1" customWidth="1"/>
    <col min="448" max="448" width="16.140625" bestFit="1" customWidth="1"/>
    <col min="449" max="451" width="20.85546875" bestFit="1" customWidth="1"/>
    <col min="452" max="452" width="15.140625" bestFit="1" customWidth="1"/>
    <col min="453" max="455" width="20.85546875" bestFit="1" customWidth="1"/>
    <col min="456" max="456" width="15.140625" bestFit="1" customWidth="1"/>
    <col min="457" max="459" width="16.42578125" bestFit="1" customWidth="1"/>
    <col min="460" max="460" width="15.140625" bestFit="1" customWidth="1"/>
    <col min="461" max="462" width="20.85546875" bestFit="1" customWidth="1"/>
    <col min="463" max="463" width="15.140625" bestFit="1" customWidth="1"/>
    <col min="464" max="464" width="20.85546875" bestFit="1" customWidth="1"/>
    <col min="465" max="465" width="15.140625" bestFit="1" customWidth="1"/>
    <col min="466" max="466" width="12" bestFit="1" customWidth="1"/>
    <col min="467" max="467" width="15.140625" bestFit="1" customWidth="1"/>
    <col min="468" max="468" width="12" bestFit="1" customWidth="1"/>
    <col min="469" max="469" width="15.140625" bestFit="1" customWidth="1"/>
    <col min="470" max="472" width="13.140625" bestFit="1" customWidth="1"/>
    <col min="473" max="473" width="15.140625" bestFit="1" customWidth="1"/>
    <col min="474" max="474" width="20.85546875" bestFit="1" customWidth="1"/>
    <col min="475" max="475" width="16.140625" bestFit="1" customWidth="1"/>
    <col min="476" max="476" width="20.85546875" bestFit="1" customWidth="1"/>
    <col min="477" max="477" width="16.140625" bestFit="1" customWidth="1"/>
    <col min="478" max="479" width="16.42578125" bestFit="1" customWidth="1"/>
    <col min="480" max="480" width="16.140625" bestFit="1" customWidth="1"/>
    <col min="481" max="482" width="12" bestFit="1" customWidth="1"/>
    <col min="483" max="483" width="15.140625" bestFit="1" customWidth="1"/>
    <col min="484" max="486" width="20.85546875" bestFit="1" customWidth="1"/>
    <col min="487" max="487" width="15.140625" bestFit="1" customWidth="1"/>
    <col min="488" max="489" width="20.85546875" bestFit="1" customWidth="1"/>
    <col min="490" max="490" width="15.140625" bestFit="1" customWidth="1"/>
    <col min="491" max="491" width="12" bestFit="1" customWidth="1"/>
    <col min="492" max="492" width="15.140625" bestFit="1" customWidth="1"/>
    <col min="493" max="493" width="12" bestFit="1" customWidth="1"/>
    <col min="494" max="494" width="15.140625" bestFit="1" customWidth="1"/>
    <col min="495" max="497" width="16.28515625" bestFit="1" customWidth="1"/>
    <col min="498" max="498" width="15.140625" bestFit="1" customWidth="1"/>
    <col min="499" max="501" width="20.85546875" bestFit="1" customWidth="1"/>
    <col min="502" max="502" width="15.140625" bestFit="1" customWidth="1"/>
    <col min="503" max="504" width="20.85546875" bestFit="1" customWidth="1"/>
    <col min="505" max="505" width="15.140625" bestFit="1" customWidth="1"/>
    <col min="506" max="506" width="20.85546875" bestFit="1" customWidth="1"/>
    <col min="507" max="507" width="14.140625" bestFit="1" customWidth="1"/>
    <col min="508" max="509" width="11.5703125" bestFit="1" customWidth="1"/>
    <col min="510" max="510" width="14.140625" bestFit="1" customWidth="1"/>
    <col min="511" max="512" width="11.5703125" bestFit="1" customWidth="1"/>
    <col min="513" max="513" width="14.140625" bestFit="1" customWidth="1"/>
    <col min="514" max="515" width="11" bestFit="1" customWidth="1"/>
    <col min="516" max="516" width="14.140625" bestFit="1" customWidth="1"/>
    <col min="517" max="519" width="20.85546875" bestFit="1" customWidth="1"/>
    <col min="520" max="520" width="14.140625" bestFit="1" customWidth="1"/>
    <col min="521" max="521" width="12" bestFit="1" customWidth="1"/>
    <col min="522" max="522" width="15.140625" bestFit="1" customWidth="1"/>
    <col min="523" max="523" width="13" bestFit="1" customWidth="1"/>
    <col min="524" max="524" width="16.140625" bestFit="1" customWidth="1"/>
    <col min="525" max="527" width="20.85546875" bestFit="1" customWidth="1"/>
    <col min="528" max="528" width="16.140625" bestFit="1" customWidth="1"/>
    <col min="529" max="529" width="12" bestFit="1" customWidth="1"/>
    <col min="530" max="530" width="15.140625" bestFit="1" customWidth="1"/>
    <col min="531" max="532" width="16.28515625" bestFit="1" customWidth="1"/>
    <col min="533" max="533" width="15.140625" bestFit="1" customWidth="1"/>
    <col min="534" max="534" width="20.85546875" bestFit="1" customWidth="1"/>
    <col min="535" max="535" width="15.140625" bestFit="1" customWidth="1"/>
    <col min="536" max="536" width="12" bestFit="1" customWidth="1"/>
    <col min="537" max="537" width="15.140625" bestFit="1" customWidth="1"/>
    <col min="538" max="538" width="20.85546875" bestFit="1" customWidth="1"/>
    <col min="539" max="539" width="15.140625" bestFit="1" customWidth="1"/>
    <col min="540" max="540" width="12" bestFit="1" customWidth="1"/>
    <col min="541" max="541" width="15.140625" bestFit="1" customWidth="1"/>
    <col min="542" max="543" width="13.28515625" bestFit="1" customWidth="1"/>
    <col min="544" max="544" width="16.140625" bestFit="1" customWidth="1"/>
    <col min="545" max="545" width="12" bestFit="1" customWidth="1"/>
    <col min="546" max="546" width="15.140625" bestFit="1" customWidth="1"/>
    <col min="547" max="547" width="12" bestFit="1" customWidth="1"/>
    <col min="548" max="548" width="15.140625" bestFit="1" customWidth="1"/>
    <col min="549" max="550" width="20.85546875" bestFit="1" customWidth="1"/>
    <col min="551" max="551" width="15.140625" bestFit="1" customWidth="1"/>
    <col min="552" max="552" width="12" bestFit="1" customWidth="1"/>
    <col min="553" max="553" width="15.140625" bestFit="1" customWidth="1"/>
    <col min="554" max="554" width="20.85546875" bestFit="1" customWidth="1"/>
    <col min="555" max="555" width="15.140625" bestFit="1" customWidth="1"/>
    <col min="556" max="557" width="11" bestFit="1" customWidth="1"/>
    <col min="558" max="558" width="14.140625" bestFit="1" customWidth="1"/>
    <col min="559" max="559" width="11" bestFit="1" customWidth="1"/>
    <col min="560" max="560" width="14.140625" bestFit="1" customWidth="1"/>
    <col min="561" max="562" width="11.5703125" bestFit="1" customWidth="1"/>
    <col min="563" max="563" width="14.140625" bestFit="1" customWidth="1"/>
    <col min="564" max="565" width="11.5703125" bestFit="1" customWidth="1"/>
    <col min="566" max="566" width="14.140625" bestFit="1" customWidth="1"/>
    <col min="567" max="567" width="20.85546875" bestFit="1" customWidth="1"/>
    <col min="568" max="568" width="14.140625" bestFit="1" customWidth="1"/>
    <col min="569" max="569" width="13.7109375" bestFit="1" customWidth="1"/>
    <col min="570" max="570" width="14.140625" bestFit="1" customWidth="1"/>
    <col min="571" max="573" width="20.85546875" bestFit="1" customWidth="1"/>
    <col min="574" max="574" width="15.140625" bestFit="1" customWidth="1"/>
    <col min="575" max="575" width="12" bestFit="1" customWidth="1"/>
    <col min="576" max="576" width="15.140625" bestFit="1" customWidth="1"/>
    <col min="577" max="578" width="20.85546875" bestFit="1" customWidth="1"/>
    <col min="579" max="579" width="15.140625" bestFit="1" customWidth="1"/>
    <col min="580" max="580" width="20.85546875" bestFit="1" customWidth="1"/>
    <col min="581" max="581" width="14.140625" bestFit="1" customWidth="1"/>
    <col min="582" max="582" width="11" bestFit="1" customWidth="1"/>
    <col min="583" max="583" width="14.140625" bestFit="1" customWidth="1"/>
    <col min="584" max="587" width="20.85546875" bestFit="1" customWidth="1"/>
    <col min="588" max="588" width="14.140625" bestFit="1" customWidth="1"/>
    <col min="589" max="590" width="16.28515625" bestFit="1" customWidth="1"/>
    <col min="591" max="591" width="14.140625" bestFit="1" customWidth="1"/>
    <col min="592" max="593" width="13.140625" bestFit="1" customWidth="1"/>
    <col min="594" max="594" width="14.140625" bestFit="1" customWidth="1"/>
    <col min="595" max="596" width="20.85546875" bestFit="1" customWidth="1"/>
    <col min="597" max="597" width="14.140625" bestFit="1" customWidth="1"/>
    <col min="598" max="598" width="11.5703125" bestFit="1" customWidth="1"/>
    <col min="599" max="599" width="14.140625" bestFit="1" customWidth="1"/>
    <col min="600" max="601" width="20.85546875" bestFit="1" customWidth="1"/>
    <col min="602" max="602" width="14.140625" bestFit="1" customWidth="1"/>
    <col min="603" max="605" width="20.85546875" bestFit="1" customWidth="1"/>
    <col min="606" max="606" width="15.140625" bestFit="1" customWidth="1"/>
    <col min="607" max="607" width="12" bestFit="1" customWidth="1"/>
    <col min="608" max="608" width="15.140625" bestFit="1" customWidth="1"/>
    <col min="609" max="610" width="13.140625" bestFit="1" customWidth="1"/>
    <col min="611" max="611" width="14.140625" bestFit="1" customWidth="1"/>
    <col min="612" max="612" width="13.140625" bestFit="1" customWidth="1"/>
    <col min="613" max="613" width="14.140625" bestFit="1" customWidth="1"/>
    <col min="614" max="614" width="11.5703125" bestFit="1" customWidth="1"/>
    <col min="615" max="615" width="14.140625" bestFit="1" customWidth="1"/>
    <col min="616" max="617" width="11.5703125" bestFit="1" customWidth="1"/>
    <col min="618" max="618" width="14.140625" bestFit="1" customWidth="1"/>
    <col min="619" max="619" width="11" bestFit="1" customWidth="1"/>
    <col min="620" max="620" width="14.140625" bestFit="1" customWidth="1"/>
    <col min="621" max="621" width="11" bestFit="1" customWidth="1"/>
    <col min="622" max="622" width="14.140625" bestFit="1" customWidth="1"/>
    <col min="623" max="623" width="11.5703125" bestFit="1" customWidth="1"/>
    <col min="624" max="624" width="14.140625" bestFit="1" customWidth="1"/>
    <col min="625" max="625" width="12" bestFit="1" customWidth="1"/>
    <col min="626" max="626" width="15.140625" bestFit="1" customWidth="1"/>
    <col min="627" max="628" width="12" bestFit="1" customWidth="1"/>
    <col min="629" max="629" width="15.140625" bestFit="1" customWidth="1"/>
    <col min="630" max="630" width="16.42578125" bestFit="1" customWidth="1"/>
    <col min="631" max="631" width="14.140625" bestFit="1" customWidth="1"/>
    <col min="632" max="633" width="11.5703125" bestFit="1" customWidth="1"/>
    <col min="634" max="634" width="14.140625" bestFit="1" customWidth="1"/>
    <col min="635" max="637" width="13.140625" bestFit="1" customWidth="1"/>
    <col min="638" max="638" width="14.140625" bestFit="1" customWidth="1"/>
    <col min="639" max="640" width="11" bestFit="1" customWidth="1"/>
    <col min="641" max="641" width="14.140625" bestFit="1" customWidth="1"/>
    <col min="642" max="643" width="11.5703125" bestFit="1" customWidth="1"/>
    <col min="644" max="644" width="14.140625" bestFit="1" customWidth="1"/>
    <col min="645" max="646" width="12" bestFit="1" customWidth="1"/>
    <col min="647" max="647" width="15.140625" bestFit="1" customWidth="1"/>
    <col min="648" max="648" width="12" bestFit="1" customWidth="1"/>
    <col min="649" max="649" width="15.140625" bestFit="1" customWidth="1"/>
    <col min="650" max="650" width="12" bestFit="1" customWidth="1"/>
    <col min="651" max="651" width="15.140625" bestFit="1" customWidth="1"/>
    <col min="652" max="652" width="11.5703125" bestFit="1" customWidth="1"/>
    <col min="653" max="653" width="14.140625" bestFit="1" customWidth="1"/>
    <col min="654" max="654" width="13.28515625" bestFit="1" customWidth="1"/>
    <col min="655" max="655" width="14.140625" bestFit="1" customWidth="1"/>
    <col min="656" max="657" width="20.85546875" bestFit="1" customWidth="1"/>
    <col min="658" max="658" width="14.140625" bestFit="1" customWidth="1"/>
    <col min="659" max="659" width="11.5703125" bestFit="1" customWidth="1"/>
    <col min="660" max="660" width="14.140625" bestFit="1" customWidth="1"/>
    <col min="661" max="662" width="13.28515625" bestFit="1" customWidth="1"/>
    <col min="663" max="663" width="14.140625" bestFit="1" customWidth="1"/>
    <col min="664" max="664" width="11.5703125" bestFit="1" customWidth="1"/>
    <col min="665" max="665" width="14.140625" bestFit="1" customWidth="1"/>
    <col min="666" max="666" width="13.7109375" bestFit="1" customWidth="1"/>
    <col min="667" max="667" width="15.140625" bestFit="1" customWidth="1"/>
    <col min="668" max="669" width="20.85546875" bestFit="1" customWidth="1"/>
    <col min="670" max="670" width="14.140625" bestFit="1" customWidth="1"/>
    <col min="671" max="672" width="20.85546875" bestFit="1" customWidth="1"/>
    <col min="673" max="673" width="14.140625" bestFit="1" customWidth="1"/>
    <col min="674" max="674" width="20.85546875" bestFit="1" customWidth="1"/>
    <col min="675" max="675" width="14.140625" bestFit="1" customWidth="1"/>
    <col min="676" max="676" width="11.5703125" bestFit="1" customWidth="1"/>
    <col min="677" max="677" width="14.140625" bestFit="1" customWidth="1"/>
    <col min="678" max="679" width="20.85546875" bestFit="1" customWidth="1"/>
    <col min="680" max="680" width="14.140625" bestFit="1" customWidth="1"/>
    <col min="682" max="682" width="12.140625" bestFit="1" customWidth="1"/>
    <col min="683" max="683" width="11.28515625" bestFit="1" customWidth="1"/>
  </cols>
  <sheetData>
    <row r="4" spans="1:2" x14ac:dyDescent="0.25">
      <c r="A4" s="14" t="s">
        <v>2626</v>
      </c>
      <c r="B4" t="s">
        <v>2625</v>
      </c>
    </row>
    <row r="5" spans="1:2" x14ac:dyDescent="0.25">
      <c r="A5" s="15">
        <v>1</v>
      </c>
      <c r="B5" s="9">
        <v>762</v>
      </c>
    </row>
    <row r="6" spans="1:2" x14ac:dyDescent="0.25">
      <c r="A6" s="17" t="s">
        <v>137</v>
      </c>
      <c r="B6" s="9">
        <v>47</v>
      </c>
    </row>
    <row r="7" spans="1:2" x14ac:dyDescent="0.25">
      <c r="A7" s="17" t="s">
        <v>11</v>
      </c>
      <c r="B7" s="9">
        <v>715</v>
      </c>
    </row>
    <row r="8" spans="1:2" x14ac:dyDescent="0.25">
      <c r="A8" s="15">
        <v>2</v>
      </c>
      <c r="B8" s="9">
        <v>210</v>
      </c>
    </row>
    <row r="9" spans="1:2" x14ac:dyDescent="0.25">
      <c r="A9" s="17" t="s">
        <v>137</v>
      </c>
      <c r="B9" s="9">
        <v>15</v>
      </c>
    </row>
    <row r="10" spans="1:2" x14ac:dyDescent="0.25">
      <c r="A10" s="17" t="s">
        <v>11</v>
      </c>
      <c r="B10" s="9">
        <v>195</v>
      </c>
    </row>
    <row r="11" spans="1:2" x14ac:dyDescent="0.25">
      <c r="A11" s="15">
        <v>3</v>
      </c>
      <c r="B11" s="9">
        <v>88</v>
      </c>
    </row>
    <row r="12" spans="1:2" x14ac:dyDescent="0.25">
      <c r="A12" s="17" t="s">
        <v>137</v>
      </c>
      <c r="B12" s="9">
        <v>10</v>
      </c>
    </row>
    <row r="13" spans="1:2" x14ac:dyDescent="0.25">
      <c r="A13" s="17" t="s">
        <v>11</v>
      </c>
      <c r="B13" s="9">
        <v>78</v>
      </c>
    </row>
    <row r="14" spans="1:2" x14ac:dyDescent="0.25">
      <c r="A14" s="15">
        <v>4</v>
      </c>
      <c r="B14" s="9">
        <v>23</v>
      </c>
    </row>
    <row r="15" spans="1:2" x14ac:dyDescent="0.25">
      <c r="A15" s="17" t="s">
        <v>137</v>
      </c>
      <c r="B15" s="9">
        <v>3</v>
      </c>
    </row>
    <row r="16" spans="1:2" x14ac:dyDescent="0.25">
      <c r="A16" s="17" t="s">
        <v>11</v>
      </c>
      <c r="B16" s="9">
        <v>20</v>
      </c>
    </row>
    <row r="17" spans="1:2" x14ac:dyDescent="0.25">
      <c r="A17" s="15" t="s">
        <v>2623</v>
      </c>
      <c r="B17" s="9"/>
    </row>
    <row r="18" spans="1:2" x14ac:dyDescent="0.25">
      <c r="A18" s="17" t="s">
        <v>2619</v>
      </c>
      <c r="B18" s="9"/>
    </row>
    <row r="19" spans="1:2" x14ac:dyDescent="0.25">
      <c r="A19" s="15" t="s">
        <v>2620</v>
      </c>
      <c r="B19" s="9">
        <v>1083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85"/>
  <sheetViews>
    <sheetView topLeftCell="A1061" zoomScale="85" zoomScaleNormal="85" workbookViewId="0">
      <selection activeCell="H1085" sqref="H1085"/>
    </sheetView>
  </sheetViews>
  <sheetFormatPr defaultRowHeight="15" x14ac:dyDescent="0.25"/>
  <cols>
    <col min="1" max="1" width="10.140625" customWidth="1"/>
    <col min="2" max="2" width="10" style="6" customWidth="1"/>
    <col min="3" max="3" width="21.85546875" customWidth="1"/>
    <col min="4" max="4" width="20.42578125" customWidth="1"/>
    <col min="5" max="5" width="11.42578125" style="8" customWidth="1"/>
    <col min="6" max="6" width="13.140625" style="13" customWidth="1"/>
    <col min="7" max="7" width="9.140625" style="8"/>
    <col min="8" max="8" width="15.140625" style="11" customWidth="1"/>
    <col min="9" max="9" width="14.7109375" style="3" customWidth="1"/>
    <col min="10" max="10" width="14.140625" style="3" customWidth="1"/>
    <col min="11" max="11" width="12.28515625" style="8" customWidth="1"/>
  </cols>
  <sheetData>
    <row r="1" spans="1:11" x14ac:dyDescent="0.25">
      <c r="A1" s="2" t="s">
        <v>0</v>
      </c>
      <c r="B1" s="5" t="s">
        <v>1</v>
      </c>
      <c r="C1" s="2" t="s">
        <v>2</v>
      </c>
      <c r="D1" s="1" t="s">
        <v>3</v>
      </c>
      <c r="E1" s="7" t="s">
        <v>4</v>
      </c>
      <c r="F1" s="12" t="s">
        <v>5</v>
      </c>
      <c r="G1" s="7" t="s">
        <v>6</v>
      </c>
      <c r="H1" s="10" t="s">
        <v>7</v>
      </c>
      <c r="I1" s="4" t="s">
        <v>2188</v>
      </c>
      <c r="J1" s="4" t="s">
        <v>2189</v>
      </c>
      <c r="K1" s="7" t="s">
        <v>2618</v>
      </c>
    </row>
    <row r="2" spans="1:11" x14ac:dyDescent="0.25">
      <c r="A2" s="2" t="s">
        <v>8</v>
      </c>
      <c r="B2" s="5" t="s">
        <v>9</v>
      </c>
      <c r="C2" s="2" t="s">
        <v>10</v>
      </c>
      <c r="D2" s="1" t="s">
        <v>11</v>
      </c>
      <c r="E2" s="7">
        <v>1</v>
      </c>
      <c r="F2" s="12">
        <v>160</v>
      </c>
      <c r="G2" s="7">
        <v>0</v>
      </c>
      <c r="H2" s="10">
        <v>160</v>
      </c>
      <c r="I2" s="3">
        <v>44927</v>
      </c>
      <c r="J2" s="3" t="s">
        <v>2190</v>
      </c>
      <c r="K2" s="8">
        <v>1</v>
      </c>
    </row>
    <row r="3" spans="1:11" x14ac:dyDescent="0.25">
      <c r="A3" s="2" t="s">
        <v>12</v>
      </c>
      <c r="B3" s="5" t="s">
        <v>13</v>
      </c>
      <c r="C3" s="2" t="s">
        <v>10</v>
      </c>
      <c r="D3" s="1" t="s">
        <v>11</v>
      </c>
      <c r="E3" s="7">
        <v>1</v>
      </c>
      <c r="F3" s="12">
        <v>160</v>
      </c>
      <c r="G3" s="7">
        <v>0</v>
      </c>
      <c r="H3" s="10">
        <v>160</v>
      </c>
      <c r="I3" s="3">
        <v>44927</v>
      </c>
      <c r="J3" s="3" t="s">
        <v>2190</v>
      </c>
      <c r="K3" s="8">
        <v>3</v>
      </c>
    </row>
    <row r="4" spans="1:11" x14ac:dyDescent="0.25">
      <c r="A4" s="2" t="s">
        <v>14</v>
      </c>
      <c r="B4" s="5" t="s">
        <v>15</v>
      </c>
      <c r="C4" s="2" t="s">
        <v>16</v>
      </c>
      <c r="D4" s="1" t="s">
        <v>11</v>
      </c>
      <c r="E4" s="7">
        <v>1</v>
      </c>
      <c r="F4" s="12">
        <v>90</v>
      </c>
      <c r="G4" s="7">
        <v>0</v>
      </c>
      <c r="H4" s="10">
        <v>90</v>
      </c>
      <c r="I4" s="3">
        <v>44986</v>
      </c>
      <c r="J4" s="3" t="s">
        <v>2191</v>
      </c>
      <c r="K4" s="8">
        <v>1</v>
      </c>
    </row>
    <row r="5" spans="1:11" x14ac:dyDescent="0.25">
      <c r="A5" s="2" t="s">
        <v>17</v>
      </c>
      <c r="B5" s="5" t="s">
        <v>18</v>
      </c>
      <c r="C5" s="2" t="s">
        <v>19</v>
      </c>
      <c r="D5" s="1" t="s">
        <v>11</v>
      </c>
      <c r="E5" s="7">
        <v>1</v>
      </c>
      <c r="F5" s="12">
        <v>130</v>
      </c>
      <c r="G5" s="7">
        <v>0</v>
      </c>
      <c r="H5" s="10">
        <v>130</v>
      </c>
      <c r="I5" s="3">
        <v>44986</v>
      </c>
      <c r="J5" s="3" t="s">
        <v>2192</v>
      </c>
      <c r="K5" s="8">
        <v>4</v>
      </c>
    </row>
    <row r="6" spans="1:11" x14ac:dyDescent="0.25">
      <c r="A6" s="2" t="s">
        <v>20</v>
      </c>
      <c r="B6" s="5" t="s">
        <v>21</v>
      </c>
      <c r="C6" s="2" t="s">
        <v>19</v>
      </c>
      <c r="D6" s="1" t="s">
        <v>11</v>
      </c>
      <c r="E6" s="7">
        <v>4</v>
      </c>
      <c r="F6" s="12">
        <v>130</v>
      </c>
      <c r="G6" s="7">
        <v>0</v>
      </c>
      <c r="H6" s="10">
        <v>520</v>
      </c>
      <c r="I6" s="3">
        <v>44986</v>
      </c>
      <c r="J6" s="3" t="s">
        <v>2193</v>
      </c>
      <c r="K6" s="8">
        <v>1</v>
      </c>
    </row>
    <row r="7" spans="1:11" x14ac:dyDescent="0.25">
      <c r="A7" s="2" t="s">
        <v>22</v>
      </c>
      <c r="B7" s="5" t="s">
        <v>23</v>
      </c>
      <c r="C7" s="2" t="s">
        <v>16</v>
      </c>
      <c r="D7" s="1" t="s">
        <v>11</v>
      </c>
      <c r="E7" s="7">
        <v>1</v>
      </c>
      <c r="F7" s="12">
        <v>90</v>
      </c>
      <c r="G7" s="7">
        <v>0</v>
      </c>
      <c r="H7" s="10">
        <v>90</v>
      </c>
      <c r="I7" s="3">
        <v>44986</v>
      </c>
      <c r="J7" s="3" t="s">
        <v>2191</v>
      </c>
      <c r="K7" s="8">
        <v>4</v>
      </c>
    </row>
    <row r="8" spans="1:11" x14ac:dyDescent="0.25">
      <c r="A8" s="2" t="s">
        <v>24</v>
      </c>
      <c r="B8" s="5" t="s">
        <v>25</v>
      </c>
      <c r="C8" s="2" t="s">
        <v>19</v>
      </c>
      <c r="D8" s="1" t="s">
        <v>11</v>
      </c>
      <c r="E8" s="7">
        <v>1</v>
      </c>
      <c r="F8" s="12">
        <v>130</v>
      </c>
      <c r="G8" s="7">
        <v>0</v>
      </c>
      <c r="H8" s="10">
        <v>130</v>
      </c>
      <c r="I8" s="3">
        <v>44986</v>
      </c>
      <c r="J8" s="3" t="s">
        <v>2192</v>
      </c>
      <c r="K8" s="8">
        <v>2</v>
      </c>
    </row>
    <row r="9" spans="1:11" x14ac:dyDescent="0.25">
      <c r="A9" s="2" t="s">
        <v>26</v>
      </c>
      <c r="B9" s="5" t="s">
        <v>27</v>
      </c>
      <c r="C9" s="2" t="s">
        <v>19</v>
      </c>
      <c r="D9" s="1" t="s">
        <v>11</v>
      </c>
      <c r="E9" s="7">
        <v>4</v>
      </c>
      <c r="F9" s="12">
        <v>130</v>
      </c>
      <c r="G9" s="7">
        <v>0</v>
      </c>
      <c r="H9" s="10">
        <v>520</v>
      </c>
      <c r="I9" s="3">
        <v>44986</v>
      </c>
      <c r="J9" s="3" t="s">
        <v>2193</v>
      </c>
      <c r="K9" s="8">
        <v>2</v>
      </c>
    </row>
    <row r="10" spans="1:11" x14ac:dyDescent="0.25">
      <c r="A10" s="2" t="s">
        <v>28</v>
      </c>
      <c r="B10" s="5" t="s">
        <v>29</v>
      </c>
      <c r="C10" s="2" t="s">
        <v>19</v>
      </c>
      <c r="D10" s="1" t="s">
        <v>11</v>
      </c>
      <c r="E10" s="7">
        <v>4</v>
      </c>
      <c r="F10" s="12">
        <v>130</v>
      </c>
      <c r="G10" s="7">
        <v>0</v>
      </c>
      <c r="H10" s="10">
        <v>520</v>
      </c>
      <c r="I10" s="3">
        <v>44986</v>
      </c>
      <c r="J10" s="3" t="s">
        <v>2193</v>
      </c>
      <c r="K10" s="8">
        <v>3</v>
      </c>
    </row>
    <row r="11" spans="1:11" x14ac:dyDescent="0.25">
      <c r="A11" s="2" t="s">
        <v>30</v>
      </c>
      <c r="B11" s="5" t="s">
        <v>31</v>
      </c>
      <c r="C11" s="2" t="s">
        <v>32</v>
      </c>
      <c r="D11" s="1" t="s">
        <v>11</v>
      </c>
      <c r="E11" s="7">
        <v>3</v>
      </c>
      <c r="F11" s="12">
        <v>135</v>
      </c>
      <c r="G11" s="7">
        <v>5</v>
      </c>
      <c r="H11" s="10">
        <v>400</v>
      </c>
      <c r="I11" s="3">
        <v>45017</v>
      </c>
      <c r="J11" s="3" t="s">
        <v>2194</v>
      </c>
      <c r="K11" s="8">
        <v>1</v>
      </c>
    </row>
    <row r="12" spans="1:11" x14ac:dyDescent="0.25">
      <c r="A12" s="2" t="s">
        <v>33</v>
      </c>
      <c r="B12" s="5" t="s">
        <v>34</v>
      </c>
      <c r="C12" s="2" t="s">
        <v>19</v>
      </c>
      <c r="D12" s="1" t="s">
        <v>11</v>
      </c>
      <c r="E12" s="7">
        <v>1</v>
      </c>
      <c r="F12" s="12">
        <v>130</v>
      </c>
      <c r="G12" s="7">
        <v>0</v>
      </c>
      <c r="H12" s="10">
        <v>130</v>
      </c>
      <c r="I12" s="3">
        <v>45017</v>
      </c>
      <c r="J12" s="3" t="s">
        <v>2194</v>
      </c>
      <c r="K12" s="8">
        <v>4</v>
      </c>
    </row>
    <row r="13" spans="1:11" x14ac:dyDescent="0.25">
      <c r="A13" s="2" t="s">
        <v>35</v>
      </c>
      <c r="B13" s="5" t="s">
        <v>36</v>
      </c>
      <c r="C13" s="2" t="s">
        <v>32</v>
      </c>
      <c r="D13" s="1" t="s">
        <v>11</v>
      </c>
      <c r="E13" s="7">
        <v>3</v>
      </c>
      <c r="F13" s="12">
        <v>135</v>
      </c>
      <c r="G13" s="7">
        <v>5</v>
      </c>
      <c r="H13" s="10">
        <v>400</v>
      </c>
      <c r="I13" s="3">
        <v>45017</v>
      </c>
      <c r="J13" s="3" t="s">
        <v>2194</v>
      </c>
      <c r="K13" s="8">
        <v>2</v>
      </c>
    </row>
    <row r="14" spans="1:11" x14ac:dyDescent="0.25">
      <c r="A14" s="2" t="s">
        <v>37</v>
      </c>
      <c r="B14" s="5" t="s">
        <v>38</v>
      </c>
      <c r="C14" s="2" t="s">
        <v>19</v>
      </c>
      <c r="D14" s="1" t="s">
        <v>11</v>
      </c>
      <c r="E14" s="7">
        <v>1</v>
      </c>
      <c r="F14" s="12">
        <v>130</v>
      </c>
      <c r="G14" s="7">
        <v>0</v>
      </c>
      <c r="H14" s="10">
        <v>130</v>
      </c>
      <c r="I14" s="3">
        <v>45017</v>
      </c>
      <c r="J14" s="3" t="s">
        <v>2194</v>
      </c>
      <c r="K14" s="8">
        <v>2</v>
      </c>
    </row>
    <row r="15" spans="1:11" x14ac:dyDescent="0.25">
      <c r="A15" s="2" t="s">
        <v>39</v>
      </c>
      <c r="B15" s="5" t="s">
        <v>40</v>
      </c>
      <c r="C15" s="2" t="s">
        <v>19</v>
      </c>
      <c r="D15" s="1" t="s">
        <v>11</v>
      </c>
      <c r="E15" s="7">
        <v>1</v>
      </c>
      <c r="F15" s="12">
        <v>130</v>
      </c>
      <c r="G15" s="7">
        <v>0</v>
      </c>
      <c r="H15" s="10">
        <v>130</v>
      </c>
      <c r="I15" s="3">
        <v>45017</v>
      </c>
      <c r="J15" s="3" t="s">
        <v>2194</v>
      </c>
      <c r="K15" s="8">
        <v>3</v>
      </c>
    </row>
    <row r="16" spans="1:11" x14ac:dyDescent="0.25">
      <c r="A16" s="2" t="s">
        <v>41</v>
      </c>
      <c r="B16" s="5" t="s">
        <v>42</v>
      </c>
      <c r="C16" s="2" t="s">
        <v>19</v>
      </c>
      <c r="D16" s="1" t="s">
        <v>11</v>
      </c>
      <c r="E16" s="7">
        <v>2</v>
      </c>
      <c r="F16" s="12">
        <v>130</v>
      </c>
      <c r="G16" s="7">
        <v>0</v>
      </c>
      <c r="H16" s="10">
        <v>260</v>
      </c>
      <c r="I16" s="3">
        <v>45047</v>
      </c>
      <c r="J16" s="3" t="s">
        <v>2195</v>
      </c>
      <c r="K16" s="8">
        <v>3</v>
      </c>
    </row>
    <row r="17" spans="1:11" x14ac:dyDescent="0.25">
      <c r="A17" s="2" t="s">
        <v>43</v>
      </c>
      <c r="B17" s="5" t="s">
        <v>44</v>
      </c>
      <c r="C17" s="2" t="s">
        <v>19</v>
      </c>
      <c r="D17" s="1" t="s">
        <v>11</v>
      </c>
      <c r="E17" s="7">
        <v>2</v>
      </c>
      <c r="F17" s="12">
        <v>130</v>
      </c>
      <c r="G17" s="7">
        <v>0</v>
      </c>
      <c r="H17" s="10">
        <v>260</v>
      </c>
      <c r="I17" s="3">
        <v>45047</v>
      </c>
      <c r="J17" s="3" t="s">
        <v>2195</v>
      </c>
      <c r="K17" s="8">
        <v>3</v>
      </c>
    </row>
    <row r="18" spans="1:11" x14ac:dyDescent="0.25">
      <c r="A18" s="2" t="s">
        <v>45</v>
      </c>
      <c r="B18" s="5" t="s">
        <v>46</v>
      </c>
      <c r="C18" s="2" t="s">
        <v>47</v>
      </c>
      <c r="D18" s="1" t="s">
        <v>11</v>
      </c>
      <c r="E18" s="7">
        <v>2</v>
      </c>
      <c r="F18" s="12">
        <v>190</v>
      </c>
      <c r="G18" s="7">
        <v>10</v>
      </c>
      <c r="H18" s="10">
        <v>370</v>
      </c>
      <c r="I18" s="3">
        <v>45078</v>
      </c>
      <c r="J18" s="3" t="s">
        <v>2195</v>
      </c>
      <c r="K18" s="8">
        <v>3</v>
      </c>
    </row>
    <row r="19" spans="1:11" x14ac:dyDescent="0.25">
      <c r="A19" s="2" t="s">
        <v>48</v>
      </c>
      <c r="B19" s="5" t="s">
        <v>49</v>
      </c>
      <c r="C19" s="2" t="s">
        <v>47</v>
      </c>
      <c r="D19" s="1" t="s">
        <v>11</v>
      </c>
      <c r="E19" s="7">
        <v>1</v>
      </c>
      <c r="F19" s="12">
        <v>190</v>
      </c>
      <c r="G19" s="7">
        <v>5</v>
      </c>
      <c r="H19" s="10">
        <v>185</v>
      </c>
      <c r="I19" s="3">
        <v>45078</v>
      </c>
      <c r="J19" s="3" t="s">
        <v>2195</v>
      </c>
      <c r="K19" s="8">
        <v>1</v>
      </c>
    </row>
    <row r="20" spans="1:11" x14ac:dyDescent="0.25">
      <c r="A20" s="2" t="s">
        <v>50</v>
      </c>
      <c r="B20" s="5" t="s">
        <v>51</v>
      </c>
      <c r="C20" s="2" t="s">
        <v>47</v>
      </c>
      <c r="D20" s="1" t="s">
        <v>11</v>
      </c>
      <c r="E20" s="7">
        <v>2</v>
      </c>
      <c r="F20" s="12">
        <v>190</v>
      </c>
      <c r="G20" s="7">
        <v>10</v>
      </c>
      <c r="H20" s="10">
        <v>370</v>
      </c>
      <c r="I20" s="3">
        <v>45078</v>
      </c>
      <c r="J20" s="3" t="s">
        <v>2195</v>
      </c>
      <c r="K20" s="8">
        <v>3</v>
      </c>
    </row>
    <row r="21" spans="1:11" x14ac:dyDescent="0.25">
      <c r="A21" s="2" t="s">
        <v>52</v>
      </c>
      <c r="B21" s="5" t="s">
        <v>53</v>
      </c>
      <c r="C21" s="2" t="s">
        <v>47</v>
      </c>
      <c r="D21" s="1" t="s">
        <v>11</v>
      </c>
      <c r="E21" s="7">
        <v>1</v>
      </c>
      <c r="F21" s="12">
        <v>190</v>
      </c>
      <c r="G21" s="7">
        <v>5</v>
      </c>
      <c r="H21" s="10">
        <v>185</v>
      </c>
      <c r="I21" s="3">
        <v>45078</v>
      </c>
      <c r="J21" s="3" t="s">
        <v>2195</v>
      </c>
      <c r="K21" s="8">
        <v>2</v>
      </c>
    </row>
    <row r="22" spans="1:11" x14ac:dyDescent="0.25">
      <c r="A22" s="2" t="s">
        <v>54</v>
      </c>
      <c r="B22" s="5" t="s">
        <v>55</v>
      </c>
      <c r="C22" s="2" t="s">
        <v>47</v>
      </c>
      <c r="D22" s="1" t="s">
        <v>11</v>
      </c>
      <c r="E22" s="7">
        <v>2</v>
      </c>
      <c r="F22" s="12">
        <v>190</v>
      </c>
      <c r="G22" s="7">
        <v>10</v>
      </c>
      <c r="H22" s="10">
        <v>370</v>
      </c>
      <c r="I22" s="3">
        <v>45078</v>
      </c>
      <c r="J22" s="3" t="s">
        <v>2195</v>
      </c>
      <c r="K22" s="8">
        <v>3</v>
      </c>
    </row>
    <row r="23" spans="1:11" x14ac:dyDescent="0.25">
      <c r="A23" s="2" t="s">
        <v>56</v>
      </c>
      <c r="B23" s="5" t="s">
        <v>57</v>
      </c>
      <c r="C23" s="2" t="s">
        <v>19</v>
      </c>
      <c r="D23" s="1" t="s">
        <v>11</v>
      </c>
      <c r="E23" s="7">
        <v>1</v>
      </c>
      <c r="F23" s="12">
        <v>130</v>
      </c>
      <c r="G23" s="7">
        <v>0</v>
      </c>
      <c r="H23" s="10">
        <v>130</v>
      </c>
      <c r="I23" s="3">
        <v>45170</v>
      </c>
      <c r="J23" s="3" t="s">
        <v>2195</v>
      </c>
      <c r="K23" s="8">
        <v>1</v>
      </c>
    </row>
    <row r="24" spans="1:11" x14ac:dyDescent="0.25">
      <c r="A24" s="2" t="s">
        <v>58</v>
      </c>
      <c r="B24" s="5" t="s">
        <v>59</v>
      </c>
      <c r="C24" s="2" t="s">
        <v>47</v>
      </c>
      <c r="D24" s="1" t="s">
        <v>11</v>
      </c>
      <c r="E24" s="7">
        <v>2</v>
      </c>
      <c r="F24" s="12">
        <v>190</v>
      </c>
      <c r="G24" s="7">
        <v>0</v>
      </c>
      <c r="H24" s="10">
        <v>380</v>
      </c>
      <c r="I24" s="3">
        <v>45170</v>
      </c>
      <c r="J24" s="3" t="s">
        <v>2196</v>
      </c>
      <c r="K24" s="8">
        <v>1</v>
      </c>
    </row>
    <row r="25" spans="1:11" x14ac:dyDescent="0.25">
      <c r="A25" s="2" t="s">
        <v>60</v>
      </c>
      <c r="B25" s="5" t="s">
        <v>61</v>
      </c>
      <c r="C25" s="2" t="s">
        <v>47</v>
      </c>
      <c r="D25" s="1" t="s">
        <v>11</v>
      </c>
      <c r="E25" s="7">
        <v>1</v>
      </c>
      <c r="F25" s="12">
        <v>190</v>
      </c>
      <c r="G25" s="7">
        <v>0</v>
      </c>
      <c r="H25" s="10">
        <v>190</v>
      </c>
      <c r="I25" s="3">
        <v>45170</v>
      </c>
      <c r="J25" s="3" t="s">
        <v>2197</v>
      </c>
      <c r="K25" s="8">
        <v>2</v>
      </c>
    </row>
    <row r="26" spans="1:11" x14ac:dyDescent="0.25">
      <c r="A26" s="2" t="s">
        <v>62</v>
      </c>
      <c r="B26" s="5" t="s">
        <v>63</v>
      </c>
      <c r="C26" s="2" t="s">
        <v>19</v>
      </c>
      <c r="D26" s="1" t="s">
        <v>11</v>
      </c>
      <c r="E26" s="7">
        <v>1</v>
      </c>
      <c r="F26" s="12">
        <v>130</v>
      </c>
      <c r="G26" s="7">
        <v>0</v>
      </c>
      <c r="H26" s="10">
        <v>130</v>
      </c>
      <c r="I26" s="3">
        <v>45170</v>
      </c>
      <c r="J26" s="3" t="s">
        <v>2195</v>
      </c>
      <c r="K26" s="8">
        <v>1</v>
      </c>
    </row>
    <row r="27" spans="1:11" x14ac:dyDescent="0.25">
      <c r="A27" s="2" t="s">
        <v>64</v>
      </c>
      <c r="B27" s="5" t="s">
        <v>65</v>
      </c>
      <c r="C27" s="2" t="s">
        <v>47</v>
      </c>
      <c r="D27" s="1" t="s">
        <v>11</v>
      </c>
      <c r="E27" s="7">
        <v>2</v>
      </c>
      <c r="F27" s="12">
        <v>190</v>
      </c>
      <c r="G27" s="7">
        <v>0</v>
      </c>
      <c r="H27" s="10">
        <v>380</v>
      </c>
      <c r="I27" s="3">
        <v>45170</v>
      </c>
      <c r="J27" s="3" t="s">
        <v>2196</v>
      </c>
      <c r="K27" s="8">
        <v>4</v>
      </c>
    </row>
    <row r="28" spans="1:11" x14ac:dyDescent="0.25">
      <c r="A28" s="2" t="s">
        <v>66</v>
      </c>
      <c r="B28" s="5" t="s">
        <v>67</v>
      </c>
      <c r="C28" s="2" t="s">
        <v>47</v>
      </c>
      <c r="D28" s="1" t="s">
        <v>11</v>
      </c>
      <c r="E28" s="7">
        <v>1</v>
      </c>
      <c r="F28" s="12">
        <v>190</v>
      </c>
      <c r="G28" s="7">
        <v>0</v>
      </c>
      <c r="H28" s="10">
        <v>190</v>
      </c>
      <c r="I28" s="3">
        <v>45170</v>
      </c>
      <c r="J28" s="3" t="s">
        <v>2197</v>
      </c>
      <c r="K28" s="8">
        <v>3</v>
      </c>
    </row>
    <row r="29" spans="1:11" x14ac:dyDescent="0.25">
      <c r="A29" s="2" t="s">
        <v>68</v>
      </c>
      <c r="B29" s="5" t="s">
        <v>69</v>
      </c>
      <c r="C29" s="2" t="s">
        <v>70</v>
      </c>
      <c r="D29" s="1" t="s">
        <v>11</v>
      </c>
      <c r="E29" s="7">
        <v>1</v>
      </c>
      <c r="F29" s="12">
        <v>125</v>
      </c>
      <c r="G29" s="7">
        <v>5</v>
      </c>
      <c r="H29" s="10">
        <v>120</v>
      </c>
      <c r="I29" s="3">
        <v>45200</v>
      </c>
      <c r="J29" s="3" t="s">
        <v>2198</v>
      </c>
      <c r="K29" s="8">
        <v>3</v>
      </c>
    </row>
    <row r="30" spans="1:11" x14ac:dyDescent="0.25">
      <c r="A30" s="2" t="s">
        <v>71</v>
      </c>
      <c r="B30" s="5" t="s">
        <v>72</v>
      </c>
      <c r="C30" s="2" t="s">
        <v>70</v>
      </c>
      <c r="D30" s="1" t="s">
        <v>11</v>
      </c>
      <c r="E30" s="7">
        <v>1</v>
      </c>
      <c r="F30" s="12">
        <v>125</v>
      </c>
      <c r="G30" s="7">
        <v>5</v>
      </c>
      <c r="H30" s="10">
        <v>120</v>
      </c>
      <c r="I30" s="3">
        <v>45200</v>
      </c>
      <c r="J30" s="3" t="s">
        <v>2198</v>
      </c>
      <c r="K30" s="8">
        <v>4</v>
      </c>
    </row>
    <row r="31" spans="1:11" x14ac:dyDescent="0.25">
      <c r="A31" s="2" t="s">
        <v>73</v>
      </c>
      <c r="B31" s="5" t="s">
        <v>74</v>
      </c>
      <c r="C31" s="2" t="s">
        <v>32</v>
      </c>
      <c r="D31" s="1" t="s">
        <v>11</v>
      </c>
      <c r="E31" s="7">
        <v>2</v>
      </c>
      <c r="F31" s="12">
        <v>135</v>
      </c>
      <c r="G31" s="7">
        <v>5</v>
      </c>
      <c r="H31" s="10">
        <v>265</v>
      </c>
      <c r="I31" s="3">
        <v>45231</v>
      </c>
      <c r="J31" s="3" t="s">
        <v>2199</v>
      </c>
      <c r="K31" s="8">
        <v>4</v>
      </c>
    </row>
    <row r="32" spans="1:11" x14ac:dyDescent="0.25">
      <c r="A32" s="2" t="s">
        <v>75</v>
      </c>
      <c r="B32" s="5" t="s">
        <v>76</v>
      </c>
      <c r="C32" s="2" t="s">
        <v>32</v>
      </c>
      <c r="D32" s="1" t="s">
        <v>11</v>
      </c>
      <c r="E32" s="7">
        <v>2</v>
      </c>
      <c r="F32" s="12">
        <v>135</v>
      </c>
      <c r="G32" s="7">
        <v>5</v>
      </c>
      <c r="H32" s="10">
        <v>265</v>
      </c>
      <c r="I32" s="3">
        <v>45231</v>
      </c>
      <c r="J32" s="3" t="s">
        <v>2199</v>
      </c>
      <c r="K32" s="8">
        <v>2</v>
      </c>
    </row>
    <row r="33" spans="1:11" x14ac:dyDescent="0.25">
      <c r="A33" s="2" t="s">
        <v>77</v>
      </c>
      <c r="B33" s="5" t="s">
        <v>78</v>
      </c>
      <c r="C33" s="2" t="s">
        <v>19</v>
      </c>
      <c r="D33" s="1" t="s">
        <v>11</v>
      </c>
      <c r="E33" s="7">
        <v>1</v>
      </c>
      <c r="F33" s="12">
        <v>130</v>
      </c>
      <c r="G33" s="7">
        <v>0</v>
      </c>
      <c r="H33" s="10">
        <v>130</v>
      </c>
      <c r="I33" s="3">
        <v>45261</v>
      </c>
      <c r="J33" s="3" t="s">
        <v>2197</v>
      </c>
      <c r="K33" s="8">
        <v>3</v>
      </c>
    </row>
    <row r="34" spans="1:11" x14ac:dyDescent="0.25">
      <c r="A34" s="2" t="s">
        <v>79</v>
      </c>
      <c r="B34" s="5" t="s">
        <v>80</v>
      </c>
      <c r="C34" s="2" t="s">
        <v>19</v>
      </c>
      <c r="D34" s="1" t="s">
        <v>11</v>
      </c>
      <c r="E34" s="7">
        <v>1</v>
      </c>
      <c r="F34" s="12">
        <v>130</v>
      </c>
      <c r="G34" s="7">
        <v>0</v>
      </c>
      <c r="H34" s="10">
        <v>130</v>
      </c>
      <c r="I34" s="3">
        <v>45261</v>
      </c>
      <c r="J34" s="3" t="s">
        <v>2200</v>
      </c>
      <c r="K34" s="8">
        <v>1</v>
      </c>
    </row>
    <row r="35" spans="1:11" x14ac:dyDescent="0.25">
      <c r="A35" s="2" t="s">
        <v>81</v>
      </c>
      <c r="B35" s="5" t="s">
        <v>82</v>
      </c>
      <c r="C35" s="2" t="s">
        <v>32</v>
      </c>
      <c r="D35" s="1" t="s">
        <v>11</v>
      </c>
      <c r="E35" s="7">
        <v>1</v>
      </c>
      <c r="F35" s="12">
        <v>135</v>
      </c>
      <c r="G35" s="7">
        <v>0</v>
      </c>
      <c r="H35" s="10">
        <v>135</v>
      </c>
      <c r="I35" s="3">
        <v>45261</v>
      </c>
      <c r="J35" s="3" t="s">
        <v>2200</v>
      </c>
      <c r="K35" s="8">
        <v>1</v>
      </c>
    </row>
    <row r="36" spans="1:11" x14ac:dyDescent="0.25">
      <c r="A36" s="2" t="s">
        <v>83</v>
      </c>
      <c r="B36" s="5" t="s">
        <v>84</v>
      </c>
      <c r="C36" s="2" t="s">
        <v>19</v>
      </c>
      <c r="D36" s="1" t="s">
        <v>11</v>
      </c>
      <c r="E36" s="7">
        <v>1</v>
      </c>
      <c r="F36" s="12">
        <v>130</v>
      </c>
      <c r="G36" s="7">
        <v>0</v>
      </c>
      <c r="H36" s="10">
        <v>130</v>
      </c>
      <c r="I36" s="3">
        <v>45261</v>
      </c>
      <c r="J36" s="3" t="s">
        <v>2197</v>
      </c>
      <c r="K36" s="8">
        <v>4</v>
      </c>
    </row>
    <row r="37" spans="1:11" x14ac:dyDescent="0.25">
      <c r="A37" s="2" t="s">
        <v>85</v>
      </c>
      <c r="B37" s="5" t="s">
        <v>86</v>
      </c>
      <c r="C37" s="2" t="s">
        <v>19</v>
      </c>
      <c r="D37" s="1" t="s">
        <v>11</v>
      </c>
      <c r="E37" s="7">
        <v>1</v>
      </c>
      <c r="F37" s="12">
        <v>130</v>
      </c>
      <c r="G37" s="7">
        <v>0</v>
      </c>
      <c r="H37" s="10">
        <v>130</v>
      </c>
      <c r="I37" s="3">
        <v>45261</v>
      </c>
      <c r="J37" s="3" t="s">
        <v>2200</v>
      </c>
      <c r="K37" s="8">
        <v>3</v>
      </c>
    </row>
    <row r="38" spans="1:11" x14ac:dyDescent="0.25">
      <c r="A38" s="2" t="s">
        <v>87</v>
      </c>
      <c r="B38" s="5" t="s">
        <v>88</v>
      </c>
      <c r="C38" s="2" t="s">
        <v>32</v>
      </c>
      <c r="D38" s="1" t="s">
        <v>11</v>
      </c>
      <c r="E38" s="7">
        <v>1</v>
      </c>
      <c r="F38" s="12">
        <v>135</v>
      </c>
      <c r="G38" s="7">
        <v>0</v>
      </c>
      <c r="H38" s="10">
        <v>135</v>
      </c>
      <c r="I38" s="3">
        <v>45261</v>
      </c>
      <c r="J38" s="3" t="s">
        <v>2200</v>
      </c>
      <c r="K38" s="8">
        <v>1</v>
      </c>
    </row>
    <row r="39" spans="1:11" x14ac:dyDescent="0.25">
      <c r="A39" s="2" t="s">
        <v>89</v>
      </c>
      <c r="B39" s="5" t="s">
        <v>90</v>
      </c>
      <c r="C39" s="2" t="s">
        <v>19</v>
      </c>
      <c r="D39" s="1" t="s">
        <v>11</v>
      </c>
      <c r="E39" s="7">
        <v>1</v>
      </c>
      <c r="F39" s="12">
        <v>130</v>
      </c>
      <c r="G39" s="7">
        <v>0</v>
      </c>
      <c r="H39" s="10">
        <v>130</v>
      </c>
      <c r="I39" s="3">
        <v>45261</v>
      </c>
      <c r="J39" s="3" t="s">
        <v>2200</v>
      </c>
      <c r="K39" s="8">
        <v>3</v>
      </c>
    </row>
    <row r="40" spans="1:11" x14ac:dyDescent="0.25">
      <c r="A40" s="2" t="s">
        <v>91</v>
      </c>
      <c r="B40" s="5" t="s">
        <v>92</v>
      </c>
      <c r="C40" s="2" t="s">
        <v>93</v>
      </c>
      <c r="D40" s="1" t="s">
        <v>11</v>
      </c>
      <c r="E40" s="7">
        <v>2</v>
      </c>
      <c r="F40" s="12">
        <v>85</v>
      </c>
      <c r="G40" s="7">
        <v>10</v>
      </c>
      <c r="H40" s="10">
        <v>160</v>
      </c>
      <c r="I40" s="3">
        <v>44939</v>
      </c>
      <c r="J40" s="3" t="s">
        <v>2202</v>
      </c>
      <c r="K40" s="8">
        <v>3</v>
      </c>
    </row>
    <row r="41" spans="1:11" x14ac:dyDescent="0.25">
      <c r="A41" s="2" t="s">
        <v>94</v>
      </c>
      <c r="B41" s="5" t="s">
        <v>95</v>
      </c>
      <c r="C41" s="2" t="s">
        <v>32</v>
      </c>
      <c r="D41" s="1" t="s">
        <v>11</v>
      </c>
      <c r="E41" s="7">
        <v>2</v>
      </c>
      <c r="F41" s="12">
        <v>135</v>
      </c>
      <c r="G41" s="7">
        <v>0</v>
      </c>
      <c r="H41" s="10">
        <v>270</v>
      </c>
      <c r="I41" s="3">
        <v>44939</v>
      </c>
      <c r="J41" s="3" t="s">
        <v>2199</v>
      </c>
      <c r="K41" s="8">
        <v>3</v>
      </c>
    </row>
    <row r="42" spans="1:11" x14ac:dyDescent="0.25">
      <c r="A42" s="2" t="s">
        <v>96</v>
      </c>
      <c r="B42" s="5" t="s">
        <v>97</v>
      </c>
      <c r="C42" s="2" t="s">
        <v>93</v>
      </c>
      <c r="D42" s="1" t="s">
        <v>11</v>
      </c>
      <c r="E42" s="7">
        <v>2</v>
      </c>
      <c r="F42" s="12">
        <v>85</v>
      </c>
      <c r="G42" s="7">
        <v>10</v>
      </c>
      <c r="H42" s="10">
        <v>160</v>
      </c>
      <c r="I42" s="3">
        <v>44939</v>
      </c>
      <c r="J42" s="3" t="s">
        <v>2202</v>
      </c>
      <c r="K42" s="8">
        <v>3</v>
      </c>
    </row>
    <row r="43" spans="1:11" x14ac:dyDescent="0.25">
      <c r="A43" s="2" t="s">
        <v>98</v>
      </c>
      <c r="B43" s="5" t="s">
        <v>99</v>
      </c>
      <c r="C43" s="2" t="s">
        <v>32</v>
      </c>
      <c r="D43" s="1" t="s">
        <v>11</v>
      </c>
      <c r="E43" s="7">
        <v>2</v>
      </c>
      <c r="F43" s="12">
        <v>135</v>
      </c>
      <c r="G43" s="7">
        <v>0</v>
      </c>
      <c r="H43" s="10">
        <v>270</v>
      </c>
      <c r="I43" s="3">
        <v>44939</v>
      </c>
      <c r="J43" s="3" t="s">
        <v>2199</v>
      </c>
      <c r="K43" s="8">
        <v>1</v>
      </c>
    </row>
    <row r="44" spans="1:11" x14ac:dyDescent="0.25">
      <c r="A44" s="2" t="s">
        <v>100</v>
      </c>
      <c r="B44" s="5" t="s">
        <v>101</v>
      </c>
      <c r="C44" s="2" t="s">
        <v>32</v>
      </c>
      <c r="D44" s="1" t="s">
        <v>11</v>
      </c>
      <c r="E44" s="7">
        <v>1</v>
      </c>
      <c r="F44" s="12">
        <v>135</v>
      </c>
      <c r="G44" s="7">
        <v>10</v>
      </c>
      <c r="H44" s="10">
        <v>125</v>
      </c>
      <c r="I44" s="3">
        <v>44941</v>
      </c>
      <c r="J44" s="3" t="s">
        <v>2202</v>
      </c>
      <c r="K44" s="8">
        <v>1</v>
      </c>
    </row>
    <row r="45" spans="1:11" x14ac:dyDescent="0.25">
      <c r="A45" s="2" t="s">
        <v>102</v>
      </c>
      <c r="B45" s="5" t="s">
        <v>103</v>
      </c>
      <c r="C45" s="2" t="s">
        <v>19</v>
      </c>
      <c r="D45" s="1" t="s">
        <v>11</v>
      </c>
      <c r="E45" s="7">
        <v>2</v>
      </c>
      <c r="F45" s="12">
        <v>130</v>
      </c>
      <c r="G45" s="7">
        <v>5</v>
      </c>
      <c r="H45" s="10">
        <v>255</v>
      </c>
      <c r="I45" s="3">
        <v>44941</v>
      </c>
      <c r="J45" s="3" t="s">
        <v>2204</v>
      </c>
      <c r="K45" s="8">
        <v>3</v>
      </c>
    </row>
    <row r="46" spans="1:11" x14ac:dyDescent="0.25">
      <c r="A46" s="2" t="s">
        <v>104</v>
      </c>
      <c r="B46" s="5" t="s">
        <v>105</v>
      </c>
      <c r="C46" s="2" t="s">
        <v>32</v>
      </c>
      <c r="D46" s="1" t="s">
        <v>11</v>
      </c>
      <c r="E46" s="7">
        <v>1</v>
      </c>
      <c r="F46" s="12">
        <v>135</v>
      </c>
      <c r="G46" s="7">
        <v>10</v>
      </c>
      <c r="H46" s="10">
        <v>125</v>
      </c>
      <c r="I46" s="3">
        <v>44941</v>
      </c>
      <c r="J46" s="3" t="s">
        <v>2202</v>
      </c>
      <c r="K46" s="8">
        <v>1</v>
      </c>
    </row>
    <row r="47" spans="1:11" x14ac:dyDescent="0.25">
      <c r="A47" s="2" t="s">
        <v>106</v>
      </c>
      <c r="B47" s="5" t="s">
        <v>107</v>
      </c>
      <c r="C47" s="2" t="s">
        <v>19</v>
      </c>
      <c r="D47" s="1" t="s">
        <v>11</v>
      </c>
      <c r="E47" s="7">
        <v>2</v>
      </c>
      <c r="F47" s="12">
        <v>130</v>
      </c>
      <c r="G47" s="7">
        <v>5</v>
      </c>
      <c r="H47" s="10">
        <v>255</v>
      </c>
      <c r="I47" s="3">
        <v>44941</v>
      </c>
      <c r="J47" s="3" t="s">
        <v>2204</v>
      </c>
      <c r="K47" s="8">
        <v>3</v>
      </c>
    </row>
    <row r="48" spans="1:11" x14ac:dyDescent="0.25">
      <c r="A48" s="2" t="s">
        <v>108</v>
      </c>
      <c r="B48" s="5" t="s">
        <v>109</v>
      </c>
      <c r="C48" s="2" t="s">
        <v>19</v>
      </c>
      <c r="D48" s="1" t="s">
        <v>11</v>
      </c>
      <c r="E48" s="7">
        <v>2</v>
      </c>
      <c r="F48" s="12">
        <v>130</v>
      </c>
      <c r="G48" s="7">
        <v>5</v>
      </c>
      <c r="H48" s="10">
        <v>255</v>
      </c>
      <c r="I48" s="3">
        <v>44941</v>
      </c>
      <c r="J48" s="3" t="s">
        <v>2204</v>
      </c>
      <c r="K48" s="8">
        <v>3</v>
      </c>
    </row>
    <row r="49" spans="1:11" x14ac:dyDescent="0.25">
      <c r="A49" s="2" t="s">
        <v>110</v>
      </c>
      <c r="B49" s="5" t="s">
        <v>111</v>
      </c>
      <c r="C49" s="2" t="s">
        <v>32</v>
      </c>
      <c r="D49" s="1" t="s">
        <v>11</v>
      </c>
      <c r="E49" s="7">
        <v>1</v>
      </c>
      <c r="F49" s="12">
        <v>135</v>
      </c>
      <c r="G49" s="7">
        <v>10</v>
      </c>
      <c r="H49" s="10">
        <v>125</v>
      </c>
      <c r="I49" s="3">
        <v>44943</v>
      </c>
      <c r="J49" s="3" t="s">
        <v>2206</v>
      </c>
      <c r="K49" s="8">
        <v>4</v>
      </c>
    </row>
    <row r="50" spans="1:11" x14ac:dyDescent="0.25">
      <c r="A50" s="2" t="s">
        <v>112</v>
      </c>
      <c r="B50" s="5" t="s">
        <v>113</v>
      </c>
      <c r="C50" s="2" t="s">
        <v>32</v>
      </c>
      <c r="D50" s="1" t="s">
        <v>11</v>
      </c>
      <c r="E50" s="7">
        <v>1</v>
      </c>
      <c r="F50" s="12">
        <v>135</v>
      </c>
      <c r="G50" s="7">
        <v>10</v>
      </c>
      <c r="H50" s="10">
        <v>125</v>
      </c>
      <c r="I50" s="3">
        <v>44943</v>
      </c>
      <c r="J50" s="3" t="s">
        <v>2206</v>
      </c>
      <c r="K50" s="8">
        <v>4</v>
      </c>
    </row>
    <row r="51" spans="1:11" x14ac:dyDescent="0.25">
      <c r="A51" s="2" t="s">
        <v>114</v>
      </c>
      <c r="B51" s="5" t="s">
        <v>115</v>
      </c>
      <c r="C51" s="2" t="s">
        <v>32</v>
      </c>
      <c r="D51" s="1" t="s">
        <v>11</v>
      </c>
      <c r="E51" s="7">
        <v>1</v>
      </c>
      <c r="F51" s="12">
        <v>135</v>
      </c>
      <c r="G51" s="7">
        <v>0</v>
      </c>
      <c r="H51" s="10">
        <v>135</v>
      </c>
      <c r="I51" s="3">
        <v>44944</v>
      </c>
      <c r="J51" s="3" t="s">
        <v>2206</v>
      </c>
      <c r="K51" s="8">
        <v>2</v>
      </c>
    </row>
    <row r="52" spans="1:11" x14ac:dyDescent="0.25">
      <c r="A52" s="2" t="s">
        <v>116</v>
      </c>
      <c r="B52" s="5" t="s">
        <v>117</v>
      </c>
      <c r="C52" s="2" t="s">
        <v>19</v>
      </c>
      <c r="D52" s="1" t="s">
        <v>11</v>
      </c>
      <c r="E52" s="7">
        <v>2</v>
      </c>
      <c r="F52" s="12">
        <v>130</v>
      </c>
      <c r="G52" s="7">
        <v>0</v>
      </c>
      <c r="H52" s="10">
        <v>260</v>
      </c>
      <c r="I52" s="3">
        <v>44944</v>
      </c>
      <c r="J52" s="3" t="s">
        <v>2202</v>
      </c>
      <c r="K52" s="8">
        <v>2</v>
      </c>
    </row>
    <row r="53" spans="1:11" x14ac:dyDescent="0.25">
      <c r="A53" s="2" t="s">
        <v>118</v>
      </c>
      <c r="B53" s="5" t="s">
        <v>119</v>
      </c>
      <c r="C53" s="2" t="s">
        <v>32</v>
      </c>
      <c r="D53" s="1" t="s">
        <v>11</v>
      </c>
      <c r="E53" s="7">
        <v>3</v>
      </c>
      <c r="F53" s="12">
        <v>135</v>
      </c>
      <c r="G53" s="7">
        <v>5</v>
      </c>
      <c r="H53" s="10">
        <v>400</v>
      </c>
      <c r="I53" s="3">
        <v>44944</v>
      </c>
      <c r="J53" s="3" t="s">
        <v>2204</v>
      </c>
      <c r="K53" s="8">
        <v>1</v>
      </c>
    </row>
    <row r="54" spans="1:11" x14ac:dyDescent="0.25">
      <c r="A54" s="2" t="s">
        <v>120</v>
      </c>
      <c r="B54" s="5" t="s">
        <v>121</v>
      </c>
      <c r="C54" s="2" t="s">
        <v>32</v>
      </c>
      <c r="D54" s="1" t="s">
        <v>11</v>
      </c>
      <c r="E54" s="7">
        <v>1</v>
      </c>
      <c r="F54" s="12">
        <v>135</v>
      </c>
      <c r="G54" s="7">
        <v>0</v>
      </c>
      <c r="H54" s="10">
        <v>135</v>
      </c>
      <c r="I54" s="3">
        <v>44944</v>
      </c>
      <c r="J54" s="3" t="s">
        <v>2206</v>
      </c>
      <c r="K54" s="8">
        <v>1</v>
      </c>
    </row>
    <row r="55" spans="1:11" x14ac:dyDescent="0.25">
      <c r="A55" s="2" t="s">
        <v>122</v>
      </c>
      <c r="B55" s="5" t="s">
        <v>123</v>
      </c>
      <c r="C55" s="2" t="s">
        <v>19</v>
      </c>
      <c r="D55" s="1" t="s">
        <v>11</v>
      </c>
      <c r="E55" s="7">
        <v>2</v>
      </c>
      <c r="F55" s="12">
        <v>130</v>
      </c>
      <c r="G55" s="7">
        <v>0</v>
      </c>
      <c r="H55" s="10">
        <v>260</v>
      </c>
      <c r="I55" s="3">
        <v>44944</v>
      </c>
      <c r="J55" s="3" t="s">
        <v>2202</v>
      </c>
      <c r="K55" s="8">
        <v>4</v>
      </c>
    </row>
    <row r="56" spans="1:11" x14ac:dyDescent="0.25">
      <c r="A56" s="2" t="s">
        <v>124</v>
      </c>
      <c r="B56" s="5" t="s">
        <v>125</v>
      </c>
      <c r="C56" s="2" t="s">
        <v>32</v>
      </c>
      <c r="D56" s="1" t="s">
        <v>11</v>
      </c>
      <c r="E56" s="7">
        <v>3</v>
      </c>
      <c r="F56" s="12">
        <v>135</v>
      </c>
      <c r="G56" s="7">
        <v>5</v>
      </c>
      <c r="H56" s="10">
        <v>400</v>
      </c>
      <c r="I56" s="3">
        <v>44944</v>
      </c>
      <c r="J56" s="3" t="s">
        <v>2204</v>
      </c>
      <c r="K56" s="8">
        <v>1</v>
      </c>
    </row>
    <row r="57" spans="1:11" x14ac:dyDescent="0.25">
      <c r="A57" s="2" t="s">
        <v>126</v>
      </c>
      <c r="B57" s="5" t="s">
        <v>127</v>
      </c>
      <c r="C57" s="2" t="s">
        <v>32</v>
      </c>
      <c r="D57" s="1" t="s">
        <v>11</v>
      </c>
      <c r="E57" s="7">
        <v>1</v>
      </c>
      <c r="F57" s="12">
        <v>135</v>
      </c>
      <c r="G57" s="7">
        <v>0</v>
      </c>
      <c r="H57" s="10">
        <v>135</v>
      </c>
      <c r="I57" s="3">
        <v>44946</v>
      </c>
      <c r="J57" s="3" t="s">
        <v>2209</v>
      </c>
      <c r="K57" s="8">
        <v>2</v>
      </c>
    </row>
    <row r="58" spans="1:11" x14ac:dyDescent="0.25">
      <c r="A58" s="2" t="s">
        <v>128</v>
      </c>
      <c r="B58" s="5" t="s">
        <v>129</v>
      </c>
      <c r="C58" s="2" t="s">
        <v>32</v>
      </c>
      <c r="D58" s="1" t="s">
        <v>11</v>
      </c>
      <c r="E58" s="7">
        <v>1</v>
      </c>
      <c r="F58" s="12">
        <v>135</v>
      </c>
      <c r="G58" s="7">
        <v>0</v>
      </c>
      <c r="H58" s="10">
        <v>135</v>
      </c>
      <c r="I58" s="3">
        <v>44946</v>
      </c>
      <c r="J58" s="3" t="s">
        <v>2209</v>
      </c>
      <c r="K58" s="8">
        <v>2</v>
      </c>
    </row>
    <row r="59" spans="1:11" x14ac:dyDescent="0.25">
      <c r="A59" s="2" t="s">
        <v>130</v>
      </c>
      <c r="B59" s="5" t="s">
        <v>131</v>
      </c>
      <c r="C59" s="2" t="s">
        <v>19</v>
      </c>
      <c r="D59" s="1" t="s">
        <v>11</v>
      </c>
      <c r="E59" s="7">
        <v>2</v>
      </c>
      <c r="F59" s="12">
        <v>130</v>
      </c>
      <c r="G59" s="7">
        <v>0</v>
      </c>
      <c r="H59" s="10">
        <v>260</v>
      </c>
      <c r="I59" s="3">
        <v>44948</v>
      </c>
      <c r="J59" s="3" t="s">
        <v>2211</v>
      </c>
      <c r="K59" s="8">
        <v>1</v>
      </c>
    </row>
    <row r="60" spans="1:11" x14ac:dyDescent="0.25">
      <c r="A60" s="2" t="s">
        <v>132</v>
      </c>
      <c r="B60" s="5" t="s">
        <v>133</v>
      </c>
      <c r="C60" s="2" t="s">
        <v>19</v>
      </c>
      <c r="D60" s="1" t="s">
        <v>11</v>
      </c>
      <c r="E60" s="7">
        <v>2</v>
      </c>
      <c r="F60" s="12">
        <v>130</v>
      </c>
      <c r="G60" s="7">
        <v>0</v>
      </c>
      <c r="H60" s="10">
        <v>260</v>
      </c>
      <c r="I60" s="3">
        <v>44948</v>
      </c>
      <c r="J60" s="3" t="s">
        <v>2211</v>
      </c>
      <c r="K60" s="8">
        <v>2</v>
      </c>
    </row>
    <row r="61" spans="1:11" x14ac:dyDescent="0.25">
      <c r="A61" s="2" t="s">
        <v>134</v>
      </c>
      <c r="B61" s="5" t="s">
        <v>135</v>
      </c>
      <c r="C61" s="2" t="s">
        <v>136</v>
      </c>
      <c r="D61" s="1" t="s">
        <v>137</v>
      </c>
      <c r="E61" s="7">
        <v>1</v>
      </c>
      <c r="F61" s="12">
        <v>220</v>
      </c>
      <c r="G61" s="7">
        <v>10</v>
      </c>
      <c r="H61" s="10">
        <v>210</v>
      </c>
      <c r="I61" s="3">
        <v>44949</v>
      </c>
      <c r="J61" s="3" t="s">
        <v>2211</v>
      </c>
      <c r="K61" s="8">
        <v>1</v>
      </c>
    </row>
    <row r="62" spans="1:11" x14ac:dyDescent="0.25">
      <c r="A62" s="2" t="s">
        <v>138</v>
      </c>
      <c r="B62" s="5" t="s">
        <v>139</v>
      </c>
      <c r="C62" s="2" t="s">
        <v>47</v>
      </c>
      <c r="D62" s="1" t="s">
        <v>11</v>
      </c>
      <c r="E62" s="7">
        <v>1</v>
      </c>
      <c r="F62" s="12">
        <v>190</v>
      </c>
      <c r="G62" s="7">
        <v>0</v>
      </c>
      <c r="H62" s="10">
        <v>190</v>
      </c>
      <c r="I62" s="3">
        <v>44949</v>
      </c>
      <c r="J62" s="3" t="s">
        <v>2213</v>
      </c>
      <c r="K62" s="8">
        <v>2</v>
      </c>
    </row>
    <row r="63" spans="1:11" x14ac:dyDescent="0.25">
      <c r="A63" s="2" t="s">
        <v>140</v>
      </c>
      <c r="B63" s="5" t="s">
        <v>141</v>
      </c>
      <c r="C63" s="2" t="s">
        <v>136</v>
      </c>
      <c r="D63" s="1" t="s">
        <v>137</v>
      </c>
      <c r="E63" s="7">
        <v>1</v>
      </c>
      <c r="F63" s="12">
        <v>220</v>
      </c>
      <c r="G63" s="7">
        <v>10</v>
      </c>
      <c r="H63" s="10">
        <v>210</v>
      </c>
      <c r="I63" s="3">
        <v>44949</v>
      </c>
      <c r="J63" s="3" t="s">
        <v>2211</v>
      </c>
      <c r="K63" s="8">
        <v>4</v>
      </c>
    </row>
    <row r="64" spans="1:11" x14ac:dyDescent="0.25">
      <c r="A64" s="2" t="s">
        <v>142</v>
      </c>
      <c r="B64" s="5" t="s">
        <v>143</v>
      </c>
      <c r="C64" s="2" t="s">
        <v>47</v>
      </c>
      <c r="D64" s="1" t="s">
        <v>11</v>
      </c>
      <c r="E64" s="7">
        <v>1</v>
      </c>
      <c r="F64" s="12">
        <v>190</v>
      </c>
      <c r="G64" s="7">
        <v>0</v>
      </c>
      <c r="H64" s="10">
        <v>190</v>
      </c>
      <c r="I64" s="3">
        <v>44949</v>
      </c>
      <c r="J64" s="3" t="s">
        <v>2213</v>
      </c>
      <c r="K64" s="8">
        <v>2</v>
      </c>
    </row>
    <row r="65" spans="1:11" x14ac:dyDescent="0.25">
      <c r="A65" s="2" t="s">
        <v>144</v>
      </c>
      <c r="B65" s="5" t="s">
        <v>145</v>
      </c>
      <c r="C65" s="2" t="s">
        <v>47</v>
      </c>
      <c r="D65" s="1" t="s">
        <v>11</v>
      </c>
      <c r="E65" s="7">
        <v>1</v>
      </c>
      <c r="F65" s="12">
        <v>190</v>
      </c>
      <c r="G65" s="7">
        <v>0</v>
      </c>
      <c r="H65" s="10">
        <v>190</v>
      </c>
      <c r="I65" s="3">
        <v>44949</v>
      </c>
      <c r="J65" s="3" t="s">
        <v>2213</v>
      </c>
      <c r="K65" s="8">
        <v>3</v>
      </c>
    </row>
    <row r="66" spans="1:11" x14ac:dyDescent="0.25">
      <c r="A66" s="2" t="s">
        <v>146</v>
      </c>
      <c r="B66" s="5" t="s">
        <v>147</v>
      </c>
      <c r="C66" s="2" t="s">
        <v>32</v>
      </c>
      <c r="D66" s="1" t="s">
        <v>11</v>
      </c>
      <c r="E66" s="7">
        <v>1</v>
      </c>
      <c r="F66" s="12">
        <v>135</v>
      </c>
      <c r="G66" s="7">
        <v>10</v>
      </c>
      <c r="H66" s="10">
        <v>125</v>
      </c>
      <c r="I66" s="3">
        <v>44951</v>
      </c>
      <c r="J66" s="3" t="s">
        <v>2209</v>
      </c>
      <c r="K66" s="8">
        <v>2</v>
      </c>
    </row>
    <row r="67" spans="1:11" x14ac:dyDescent="0.25">
      <c r="A67" s="2" t="s">
        <v>148</v>
      </c>
      <c r="B67" s="5" t="s">
        <v>149</v>
      </c>
      <c r="C67" s="2" t="s">
        <v>47</v>
      </c>
      <c r="D67" s="1" t="s">
        <v>11</v>
      </c>
      <c r="E67" s="7">
        <v>1</v>
      </c>
      <c r="F67" s="12">
        <v>190</v>
      </c>
      <c r="G67" s="7">
        <v>0</v>
      </c>
      <c r="H67" s="10">
        <v>190</v>
      </c>
      <c r="I67" s="3">
        <v>44951</v>
      </c>
      <c r="J67" s="3" t="s">
        <v>2209</v>
      </c>
      <c r="K67" s="8">
        <v>2</v>
      </c>
    </row>
    <row r="68" spans="1:11" x14ac:dyDescent="0.25">
      <c r="A68" s="2" t="s">
        <v>150</v>
      </c>
      <c r="B68" s="5" t="s">
        <v>151</v>
      </c>
      <c r="C68" s="2" t="s">
        <v>32</v>
      </c>
      <c r="D68" s="1" t="s">
        <v>11</v>
      </c>
      <c r="E68" s="7">
        <v>1</v>
      </c>
      <c r="F68" s="12">
        <v>135</v>
      </c>
      <c r="G68" s="7">
        <v>10</v>
      </c>
      <c r="H68" s="10">
        <v>125</v>
      </c>
      <c r="I68" s="3">
        <v>44951</v>
      </c>
      <c r="J68" s="3" t="s">
        <v>2209</v>
      </c>
      <c r="K68" s="8">
        <v>2</v>
      </c>
    </row>
    <row r="69" spans="1:11" x14ac:dyDescent="0.25">
      <c r="A69" s="2" t="s">
        <v>152</v>
      </c>
      <c r="B69" s="5" t="s">
        <v>153</v>
      </c>
      <c r="C69" s="2" t="s">
        <v>47</v>
      </c>
      <c r="D69" s="1" t="s">
        <v>11</v>
      </c>
      <c r="E69" s="7">
        <v>1</v>
      </c>
      <c r="F69" s="12">
        <v>190</v>
      </c>
      <c r="G69" s="7">
        <v>0</v>
      </c>
      <c r="H69" s="10">
        <v>190</v>
      </c>
      <c r="I69" s="3">
        <v>44951</v>
      </c>
      <c r="J69" s="3" t="s">
        <v>2209</v>
      </c>
      <c r="K69" s="8">
        <v>1</v>
      </c>
    </row>
    <row r="70" spans="1:11" x14ac:dyDescent="0.25">
      <c r="A70" s="2" t="s">
        <v>154</v>
      </c>
      <c r="B70" s="5" t="s">
        <v>155</v>
      </c>
      <c r="C70" s="2" t="s">
        <v>19</v>
      </c>
      <c r="D70" s="1" t="s">
        <v>11</v>
      </c>
      <c r="E70" s="7">
        <v>2</v>
      </c>
      <c r="F70" s="12">
        <v>130</v>
      </c>
      <c r="G70" s="7">
        <v>10</v>
      </c>
      <c r="H70" s="10">
        <v>250</v>
      </c>
      <c r="I70" s="3">
        <v>44952</v>
      </c>
      <c r="J70" s="3" t="s">
        <v>2216</v>
      </c>
      <c r="K70" s="8">
        <v>2</v>
      </c>
    </row>
    <row r="71" spans="1:11" x14ac:dyDescent="0.25">
      <c r="A71" s="2" t="s">
        <v>156</v>
      </c>
      <c r="B71" s="5" t="s">
        <v>157</v>
      </c>
      <c r="C71" s="2" t="s">
        <v>158</v>
      </c>
      <c r="D71" s="1" t="s">
        <v>137</v>
      </c>
      <c r="E71" s="7">
        <v>1</v>
      </c>
      <c r="F71" s="12">
        <v>200</v>
      </c>
      <c r="G71" s="7">
        <v>0</v>
      </c>
      <c r="H71" s="10">
        <v>200</v>
      </c>
      <c r="I71" s="3">
        <v>44952</v>
      </c>
      <c r="J71" s="3" t="s">
        <v>2211</v>
      </c>
      <c r="K71" s="8">
        <v>4</v>
      </c>
    </row>
    <row r="72" spans="1:11" x14ac:dyDescent="0.25">
      <c r="A72" s="2" t="s">
        <v>159</v>
      </c>
      <c r="B72" s="5" t="s">
        <v>160</v>
      </c>
      <c r="C72" s="2" t="s">
        <v>19</v>
      </c>
      <c r="D72" s="1" t="s">
        <v>11</v>
      </c>
      <c r="E72" s="7">
        <v>2</v>
      </c>
      <c r="F72" s="12">
        <v>130</v>
      </c>
      <c r="G72" s="7">
        <v>10</v>
      </c>
      <c r="H72" s="10">
        <v>250</v>
      </c>
      <c r="I72" s="3">
        <v>44952</v>
      </c>
      <c r="J72" s="3" t="s">
        <v>2216</v>
      </c>
      <c r="K72" s="8">
        <v>2</v>
      </c>
    </row>
    <row r="73" spans="1:11" x14ac:dyDescent="0.25">
      <c r="A73" s="2" t="s">
        <v>161</v>
      </c>
      <c r="B73" s="5" t="s">
        <v>162</v>
      </c>
      <c r="C73" s="2" t="s">
        <v>158</v>
      </c>
      <c r="D73" s="1" t="s">
        <v>137</v>
      </c>
      <c r="E73" s="7">
        <v>1</v>
      </c>
      <c r="F73" s="12">
        <v>200</v>
      </c>
      <c r="G73" s="7">
        <v>0</v>
      </c>
      <c r="H73" s="10">
        <v>200</v>
      </c>
      <c r="I73" s="3">
        <v>44952</v>
      </c>
      <c r="J73" s="3" t="s">
        <v>2211</v>
      </c>
      <c r="K73" s="8">
        <v>1</v>
      </c>
    </row>
    <row r="74" spans="1:11" x14ac:dyDescent="0.25">
      <c r="A74" s="2" t="s">
        <v>163</v>
      </c>
      <c r="B74" s="5" t="s">
        <v>164</v>
      </c>
      <c r="C74" s="2" t="s">
        <v>158</v>
      </c>
      <c r="D74" s="1" t="s">
        <v>137</v>
      </c>
      <c r="E74" s="7">
        <v>1</v>
      </c>
      <c r="F74" s="12">
        <v>200</v>
      </c>
      <c r="G74" s="7">
        <v>0</v>
      </c>
      <c r="H74" s="10">
        <v>200</v>
      </c>
      <c r="I74" s="3">
        <v>44952</v>
      </c>
      <c r="J74" s="3" t="s">
        <v>2211</v>
      </c>
      <c r="K74" s="8">
        <v>3</v>
      </c>
    </row>
    <row r="75" spans="1:11" x14ac:dyDescent="0.25">
      <c r="A75" s="2" t="s">
        <v>165</v>
      </c>
      <c r="B75" s="5" t="s">
        <v>166</v>
      </c>
      <c r="C75" s="2" t="s">
        <v>167</v>
      </c>
      <c r="D75" s="1" t="s">
        <v>11</v>
      </c>
      <c r="E75" s="7">
        <v>1</v>
      </c>
      <c r="F75" s="12">
        <v>210</v>
      </c>
      <c r="G75" s="7">
        <v>0</v>
      </c>
      <c r="H75" s="10">
        <v>210</v>
      </c>
      <c r="I75" s="3">
        <v>44953</v>
      </c>
      <c r="J75" s="3" t="s">
        <v>2218</v>
      </c>
      <c r="K75" s="8">
        <v>2</v>
      </c>
    </row>
    <row r="76" spans="1:11" x14ac:dyDescent="0.25">
      <c r="A76" s="2" t="s">
        <v>168</v>
      </c>
      <c r="B76" s="5" t="s">
        <v>169</v>
      </c>
      <c r="C76" s="2" t="s">
        <v>47</v>
      </c>
      <c r="D76" s="1" t="s">
        <v>11</v>
      </c>
      <c r="E76" s="7">
        <v>1</v>
      </c>
      <c r="F76" s="12">
        <v>190</v>
      </c>
      <c r="G76" s="7">
        <v>0</v>
      </c>
      <c r="H76" s="10">
        <v>190</v>
      </c>
      <c r="I76" s="3">
        <v>44953</v>
      </c>
      <c r="J76" s="3" t="s">
        <v>2219</v>
      </c>
      <c r="K76" s="8">
        <v>2</v>
      </c>
    </row>
    <row r="77" spans="1:11" x14ac:dyDescent="0.25">
      <c r="A77" s="2" t="s">
        <v>170</v>
      </c>
      <c r="B77" s="5" t="s">
        <v>171</v>
      </c>
      <c r="C77" s="2" t="s">
        <v>167</v>
      </c>
      <c r="D77" s="1" t="s">
        <v>11</v>
      </c>
      <c r="E77" s="7">
        <v>1</v>
      </c>
      <c r="F77" s="12">
        <v>210</v>
      </c>
      <c r="G77" s="7">
        <v>0</v>
      </c>
      <c r="H77" s="10">
        <v>210</v>
      </c>
      <c r="I77" s="3">
        <v>44953</v>
      </c>
      <c r="J77" s="3" t="s">
        <v>2218</v>
      </c>
      <c r="K77" s="8">
        <v>3</v>
      </c>
    </row>
    <row r="78" spans="1:11" x14ac:dyDescent="0.25">
      <c r="A78" s="2" t="s">
        <v>172</v>
      </c>
      <c r="B78" s="5" t="s">
        <v>173</v>
      </c>
      <c r="C78" s="2" t="s">
        <v>47</v>
      </c>
      <c r="D78" s="1" t="s">
        <v>11</v>
      </c>
      <c r="E78" s="7">
        <v>1</v>
      </c>
      <c r="F78" s="12">
        <v>190</v>
      </c>
      <c r="G78" s="7">
        <v>0</v>
      </c>
      <c r="H78" s="10">
        <v>190</v>
      </c>
      <c r="I78" s="3">
        <v>44953</v>
      </c>
      <c r="J78" s="3" t="s">
        <v>2219</v>
      </c>
      <c r="K78" s="8">
        <v>2</v>
      </c>
    </row>
    <row r="79" spans="1:11" x14ac:dyDescent="0.25">
      <c r="A79" s="2" t="s">
        <v>174</v>
      </c>
      <c r="B79" s="5" t="s">
        <v>175</v>
      </c>
      <c r="C79" s="2" t="s">
        <v>47</v>
      </c>
      <c r="D79" s="1" t="s">
        <v>11</v>
      </c>
      <c r="E79" s="7">
        <v>1</v>
      </c>
      <c r="F79" s="12">
        <v>190</v>
      </c>
      <c r="G79" s="7">
        <v>0</v>
      </c>
      <c r="H79" s="10">
        <v>190</v>
      </c>
      <c r="I79" s="3">
        <v>44953</v>
      </c>
      <c r="J79" s="3" t="s">
        <v>2219</v>
      </c>
      <c r="K79" s="8">
        <v>3</v>
      </c>
    </row>
    <row r="80" spans="1:11" x14ac:dyDescent="0.25">
      <c r="A80" s="2" t="s">
        <v>176</v>
      </c>
      <c r="B80" s="5" t="s">
        <v>177</v>
      </c>
      <c r="C80" s="2" t="s">
        <v>32</v>
      </c>
      <c r="D80" s="1" t="s">
        <v>11</v>
      </c>
      <c r="E80" s="7">
        <v>1</v>
      </c>
      <c r="F80" s="12">
        <v>135</v>
      </c>
      <c r="G80" s="7">
        <v>5</v>
      </c>
      <c r="H80" s="10">
        <v>130</v>
      </c>
      <c r="I80" s="3">
        <v>44955</v>
      </c>
      <c r="J80" s="3" t="s">
        <v>2221</v>
      </c>
      <c r="K80" s="8">
        <v>4</v>
      </c>
    </row>
    <row r="81" spans="1:11" x14ac:dyDescent="0.25">
      <c r="A81" s="2" t="s">
        <v>178</v>
      </c>
      <c r="B81" s="5" t="s">
        <v>179</v>
      </c>
      <c r="C81" s="2" t="s">
        <v>70</v>
      </c>
      <c r="D81" s="1" t="s">
        <v>11</v>
      </c>
      <c r="E81" s="7">
        <v>1</v>
      </c>
      <c r="F81" s="12">
        <v>125</v>
      </c>
      <c r="G81" s="7">
        <v>0</v>
      </c>
      <c r="H81" s="10">
        <v>125</v>
      </c>
      <c r="I81" s="3">
        <v>44955</v>
      </c>
      <c r="J81" s="3" t="s">
        <v>2222</v>
      </c>
      <c r="K81" s="8">
        <v>1</v>
      </c>
    </row>
    <row r="82" spans="1:11" x14ac:dyDescent="0.25">
      <c r="A82" s="2" t="s">
        <v>180</v>
      </c>
      <c r="B82" s="5" t="s">
        <v>181</v>
      </c>
      <c r="C82" s="2" t="s">
        <v>32</v>
      </c>
      <c r="D82" s="1" t="s">
        <v>11</v>
      </c>
      <c r="E82" s="7">
        <v>1</v>
      </c>
      <c r="F82" s="12">
        <v>135</v>
      </c>
      <c r="G82" s="7">
        <v>5</v>
      </c>
      <c r="H82" s="10">
        <v>130</v>
      </c>
      <c r="I82" s="3">
        <v>44955</v>
      </c>
      <c r="J82" s="3" t="s">
        <v>2221</v>
      </c>
      <c r="K82" s="8">
        <v>3</v>
      </c>
    </row>
    <row r="83" spans="1:11" x14ac:dyDescent="0.25">
      <c r="A83" s="2" t="s">
        <v>182</v>
      </c>
      <c r="B83" s="5" t="s">
        <v>183</v>
      </c>
      <c r="C83" s="2" t="s">
        <v>70</v>
      </c>
      <c r="D83" s="1" t="s">
        <v>11</v>
      </c>
      <c r="E83" s="7">
        <v>1</v>
      </c>
      <c r="F83" s="12">
        <v>125</v>
      </c>
      <c r="G83" s="7">
        <v>0</v>
      </c>
      <c r="H83" s="10">
        <v>125</v>
      </c>
      <c r="I83" s="3">
        <v>44955</v>
      </c>
      <c r="J83" s="3" t="s">
        <v>2222</v>
      </c>
      <c r="K83" s="8">
        <v>1</v>
      </c>
    </row>
    <row r="84" spans="1:11" x14ac:dyDescent="0.25">
      <c r="A84" s="2" t="s">
        <v>184</v>
      </c>
      <c r="B84" s="5" t="s">
        <v>185</v>
      </c>
      <c r="C84" s="2" t="s">
        <v>19</v>
      </c>
      <c r="D84" s="1" t="s">
        <v>11</v>
      </c>
      <c r="E84" s="7">
        <v>1</v>
      </c>
      <c r="F84" s="12">
        <v>130</v>
      </c>
      <c r="G84" s="7">
        <v>5</v>
      </c>
      <c r="H84" s="10">
        <v>125</v>
      </c>
      <c r="I84" s="3">
        <v>44956</v>
      </c>
      <c r="J84" s="3" t="s">
        <v>2224</v>
      </c>
      <c r="K84" s="8">
        <v>4</v>
      </c>
    </row>
    <row r="85" spans="1:11" x14ac:dyDescent="0.25">
      <c r="A85" s="2" t="s">
        <v>186</v>
      </c>
      <c r="B85" s="5" t="s">
        <v>187</v>
      </c>
      <c r="C85" s="2" t="s">
        <v>19</v>
      </c>
      <c r="D85" s="1" t="s">
        <v>11</v>
      </c>
      <c r="E85" s="7">
        <v>1</v>
      </c>
      <c r="F85" s="12">
        <v>130</v>
      </c>
      <c r="G85" s="7">
        <v>5</v>
      </c>
      <c r="H85" s="10">
        <v>125</v>
      </c>
      <c r="I85" s="3">
        <v>44956</v>
      </c>
      <c r="J85" s="3" t="s">
        <v>2224</v>
      </c>
      <c r="K85" s="8">
        <v>1</v>
      </c>
    </row>
    <row r="86" spans="1:11" x14ac:dyDescent="0.25">
      <c r="A86" s="2" t="s">
        <v>188</v>
      </c>
      <c r="B86" s="5" t="s">
        <v>189</v>
      </c>
      <c r="C86" s="2" t="s">
        <v>47</v>
      </c>
      <c r="D86" s="1" t="s">
        <v>11</v>
      </c>
      <c r="E86" s="7">
        <v>1</v>
      </c>
      <c r="F86" s="12">
        <v>190</v>
      </c>
      <c r="G86" s="7">
        <v>5</v>
      </c>
      <c r="H86" s="10">
        <v>185</v>
      </c>
      <c r="I86" s="3">
        <v>44957</v>
      </c>
      <c r="J86" s="3" t="s">
        <v>2222</v>
      </c>
      <c r="K86" s="8">
        <v>3</v>
      </c>
    </row>
    <row r="87" spans="1:11" x14ac:dyDescent="0.25">
      <c r="A87" s="2" t="s">
        <v>190</v>
      </c>
      <c r="B87" s="5" t="s">
        <v>191</v>
      </c>
      <c r="C87" s="2" t="s">
        <v>19</v>
      </c>
      <c r="D87" s="1" t="s">
        <v>11</v>
      </c>
      <c r="E87" s="7">
        <v>1</v>
      </c>
      <c r="F87" s="12">
        <v>130</v>
      </c>
      <c r="G87" s="7">
        <v>10</v>
      </c>
      <c r="H87" s="10">
        <v>120</v>
      </c>
      <c r="I87" s="3">
        <v>44957</v>
      </c>
      <c r="J87" s="3" t="s">
        <v>2224</v>
      </c>
      <c r="K87" s="8">
        <v>2</v>
      </c>
    </row>
    <row r="88" spans="1:11" x14ac:dyDescent="0.25">
      <c r="A88" s="2" t="s">
        <v>192</v>
      </c>
      <c r="B88" s="5" t="s">
        <v>193</v>
      </c>
      <c r="C88" s="2" t="s">
        <v>47</v>
      </c>
      <c r="D88" s="1" t="s">
        <v>11</v>
      </c>
      <c r="E88" s="7">
        <v>1</v>
      </c>
      <c r="F88" s="12">
        <v>190</v>
      </c>
      <c r="G88" s="7">
        <v>5</v>
      </c>
      <c r="H88" s="10">
        <v>185</v>
      </c>
      <c r="I88" s="3">
        <v>44957</v>
      </c>
      <c r="J88" s="3" t="s">
        <v>2222</v>
      </c>
      <c r="K88" s="8">
        <v>4</v>
      </c>
    </row>
    <row r="89" spans="1:11" x14ac:dyDescent="0.25">
      <c r="A89" s="2" t="s">
        <v>194</v>
      </c>
      <c r="B89" s="5" t="s">
        <v>195</v>
      </c>
      <c r="C89" s="2" t="s">
        <v>19</v>
      </c>
      <c r="D89" s="1" t="s">
        <v>11</v>
      </c>
      <c r="E89" s="7">
        <v>1</v>
      </c>
      <c r="F89" s="12">
        <v>130</v>
      </c>
      <c r="G89" s="7">
        <v>10</v>
      </c>
      <c r="H89" s="10">
        <v>120</v>
      </c>
      <c r="I89" s="3">
        <v>44957</v>
      </c>
      <c r="J89" s="3" t="s">
        <v>2224</v>
      </c>
      <c r="K89" s="8">
        <v>2</v>
      </c>
    </row>
    <row r="90" spans="1:11" x14ac:dyDescent="0.25">
      <c r="A90" s="2" t="s">
        <v>196</v>
      </c>
      <c r="B90" s="5" t="s">
        <v>197</v>
      </c>
      <c r="C90" s="2" t="s">
        <v>136</v>
      </c>
      <c r="D90" s="1" t="s">
        <v>137</v>
      </c>
      <c r="E90" s="7">
        <v>2</v>
      </c>
      <c r="F90" s="12">
        <v>220</v>
      </c>
      <c r="G90" s="7">
        <v>0</v>
      </c>
      <c r="H90" s="10">
        <v>440</v>
      </c>
      <c r="I90" s="3">
        <v>44987</v>
      </c>
      <c r="J90" s="3" t="s">
        <v>2224</v>
      </c>
      <c r="K90" s="8">
        <v>2</v>
      </c>
    </row>
    <row r="91" spans="1:11" x14ac:dyDescent="0.25">
      <c r="A91" s="2" t="s">
        <v>198</v>
      </c>
      <c r="B91" s="5" t="s">
        <v>199</v>
      </c>
      <c r="C91" s="2" t="s">
        <v>136</v>
      </c>
      <c r="D91" s="1" t="s">
        <v>137</v>
      </c>
      <c r="E91" s="7">
        <v>2</v>
      </c>
      <c r="F91" s="12">
        <v>220</v>
      </c>
      <c r="G91" s="7">
        <v>0</v>
      </c>
      <c r="H91" s="10">
        <v>440</v>
      </c>
      <c r="I91" s="3">
        <v>44987</v>
      </c>
      <c r="J91" s="3" t="s">
        <v>2224</v>
      </c>
      <c r="K91" s="8">
        <v>2</v>
      </c>
    </row>
    <row r="92" spans="1:11" x14ac:dyDescent="0.25">
      <c r="A92" s="2" t="s">
        <v>200</v>
      </c>
      <c r="B92" s="5" t="s">
        <v>201</v>
      </c>
      <c r="C92" s="2" t="s">
        <v>32</v>
      </c>
      <c r="D92" s="1" t="s">
        <v>11</v>
      </c>
      <c r="E92" s="7">
        <v>1</v>
      </c>
      <c r="F92" s="12">
        <v>135</v>
      </c>
      <c r="G92" s="7">
        <v>10</v>
      </c>
      <c r="H92" s="10">
        <v>125</v>
      </c>
      <c r="I92" s="3">
        <v>45079</v>
      </c>
      <c r="J92" s="3" t="s">
        <v>2226</v>
      </c>
      <c r="K92" s="8">
        <v>1</v>
      </c>
    </row>
    <row r="93" spans="1:11" x14ac:dyDescent="0.25">
      <c r="A93" s="2" t="s">
        <v>202</v>
      </c>
      <c r="B93" s="5" t="s">
        <v>203</v>
      </c>
      <c r="C93" s="2" t="s">
        <v>32</v>
      </c>
      <c r="D93" s="1" t="s">
        <v>11</v>
      </c>
      <c r="E93" s="7">
        <v>1</v>
      </c>
      <c r="F93" s="12">
        <v>135</v>
      </c>
      <c r="G93" s="7">
        <v>10</v>
      </c>
      <c r="H93" s="10">
        <v>125</v>
      </c>
      <c r="I93" s="3">
        <v>45079</v>
      </c>
      <c r="J93" s="3" t="s">
        <v>2227</v>
      </c>
      <c r="K93" s="8">
        <v>1</v>
      </c>
    </row>
    <row r="94" spans="1:11" x14ac:dyDescent="0.25">
      <c r="A94" s="2" t="s">
        <v>204</v>
      </c>
      <c r="B94" s="5" t="s">
        <v>205</v>
      </c>
      <c r="C94" s="2" t="s">
        <v>32</v>
      </c>
      <c r="D94" s="1" t="s">
        <v>11</v>
      </c>
      <c r="E94" s="7">
        <v>1</v>
      </c>
      <c r="F94" s="12">
        <v>135</v>
      </c>
      <c r="G94" s="7">
        <v>10</v>
      </c>
      <c r="H94" s="10">
        <v>125</v>
      </c>
      <c r="I94" s="3">
        <v>45079</v>
      </c>
      <c r="J94" s="3" t="s">
        <v>2226</v>
      </c>
      <c r="K94" s="8">
        <v>3</v>
      </c>
    </row>
    <row r="95" spans="1:11" x14ac:dyDescent="0.25">
      <c r="A95" s="2" t="s">
        <v>206</v>
      </c>
      <c r="B95" s="5" t="s">
        <v>207</v>
      </c>
      <c r="C95" s="2" t="s">
        <v>32</v>
      </c>
      <c r="D95" s="1" t="s">
        <v>11</v>
      </c>
      <c r="E95" s="7">
        <v>1</v>
      </c>
      <c r="F95" s="12">
        <v>135</v>
      </c>
      <c r="G95" s="7">
        <v>10</v>
      </c>
      <c r="H95" s="10">
        <v>125</v>
      </c>
      <c r="I95" s="3">
        <v>45079</v>
      </c>
      <c r="J95" s="3" t="s">
        <v>2227</v>
      </c>
      <c r="K95" s="8">
        <v>3</v>
      </c>
    </row>
    <row r="96" spans="1:11" x14ac:dyDescent="0.25">
      <c r="A96" s="2" t="s">
        <v>208</v>
      </c>
      <c r="B96" s="5" t="s">
        <v>209</v>
      </c>
      <c r="C96" s="2" t="s">
        <v>19</v>
      </c>
      <c r="D96" s="1" t="s">
        <v>11</v>
      </c>
      <c r="E96" s="7">
        <v>1</v>
      </c>
      <c r="F96" s="12">
        <v>130</v>
      </c>
      <c r="G96" s="7">
        <v>0</v>
      </c>
      <c r="H96" s="10">
        <v>130</v>
      </c>
      <c r="I96" s="3">
        <v>45109</v>
      </c>
      <c r="J96" s="3" t="s">
        <v>2228</v>
      </c>
      <c r="K96" s="8">
        <v>4</v>
      </c>
    </row>
    <row r="97" spans="1:11" x14ac:dyDescent="0.25">
      <c r="A97" s="2" t="s">
        <v>210</v>
      </c>
      <c r="B97" s="5" t="s">
        <v>211</v>
      </c>
      <c r="C97" s="2" t="s">
        <v>19</v>
      </c>
      <c r="D97" s="1" t="s">
        <v>11</v>
      </c>
      <c r="E97" s="7">
        <v>1</v>
      </c>
      <c r="F97" s="12">
        <v>130</v>
      </c>
      <c r="G97" s="7">
        <v>0</v>
      </c>
      <c r="H97" s="10">
        <v>130</v>
      </c>
      <c r="I97" s="3">
        <v>45109</v>
      </c>
      <c r="J97" s="3" t="s">
        <v>2228</v>
      </c>
      <c r="K97" s="8">
        <v>1</v>
      </c>
    </row>
    <row r="98" spans="1:11" x14ac:dyDescent="0.25">
      <c r="A98" s="2" t="s">
        <v>212</v>
      </c>
      <c r="B98" s="5" t="s">
        <v>213</v>
      </c>
      <c r="C98" s="2" t="s">
        <v>19</v>
      </c>
      <c r="D98" s="1" t="s">
        <v>11</v>
      </c>
      <c r="E98" s="7">
        <v>1</v>
      </c>
      <c r="F98" s="12">
        <v>130</v>
      </c>
      <c r="G98" s="7">
        <v>5</v>
      </c>
      <c r="H98" s="10">
        <v>125</v>
      </c>
      <c r="I98" s="3">
        <v>45140</v>
      </c>
      <c r="J98" s="3" t="s">
        <v>2226</v>
      </c>
      <c r="K98" s="8">
        <v>3</v>
      </c>
    </row>
    <row r="99" spans="1:11" x14ac:dyDescent="0.25">
      <c r="A99" s="2" t="s">
        <v>214</v>
      </c>
      <c r="B99" s="5" t="s">
        <v>215</v>
      </c>
      <c r="C99" s="2" t="s">
        <v>19</v>
      </c>
      <c r="D99" s="1" t="s">
        <v>11</v>
      </c>
      <c r="E99" s="7">
        <v>1</v>
      </c>
      <c r="F99" s="12">
        <v>130</v>
      </c>
      <c r="G99" s="7">
        <v>5</v>
      </c>
      <c r="H99" s="10">
        <v>125</v>
      </c>
      <c r="I99" s="3">
        <v>45140</v>
      </c>
      <c r="J99" s="3" t="s">
        <v>2226</v>
      </c>
      <c r="K99" s="8">
        <v>2</v>
      </c>
    </row>
    <row r="100" spans="1:11" x14ac:dyDescent="0.25">
      <c r="A100" s="2" t="s">
        <v>216</v>
      </c>
      <c r="B100" s="5" t="s">
        <v>217</v>
      </c>
      <c r="C100" s="2" t="s">
        <v>19</v>
      </c>
      <c r="D100" s="1" t="s">
        <v>11</v>
      </c>
      <c r="E100" s="7">
        <v>1</v>
      </c>
      <c r="F100" s="12">
        <v>130</v>
      </c>
      <c r="G100" s="7">
        <v>5</v>
      </c>
      <c r="H100" s="10">
        <v>125</v>
      </c>
      <c r="I100" s="3">
        <v>45140</v>
      </c>
      <c r="J100" s="3" t="s">
        <v>2226</v>
      </c>
      <c r="K100" s="8">
        <v>1</v>
      </c>
    </row>
    <row r="101" spans="1:11" x14ac:dyDescent="0.25">
      <c r="A101" s="2" t="s">
        <v>218</v>
      </c>
      <c r="B101" s="5" t="s">
        <v>219</v>
      </c>
      <c r="C101" s="2" t="s">
        <v>32</v>
      </c>
      <c r="D101" s="1" t="s">
        <v>11</v>
      </c>
      <c r="E101" s="7">
        <v>1</v>
      </c>
      <c r="F101" s="12">
        <v>135</v>
      </c>
      <c r="G101" s="7">
        <v>10</v>
      </c>
      <c r="H101" s="10">
        <v>125</v>
      </c>
      <c r="I101" s="3">
        <v>45171</v>
      </c>
      <c r="J101" s="3" t="s">
        <v>2229</v>
      </c>
      <c r="K101" s="8">
        <v>1</v>
      </c>
    </row>
    <row r="102" spans="1:11" x14ac:dyDescent="0.25">
      <c r="A102" s="2" t="s">
        <v>220</v>
      </c>
      <c r="B102" s="5" t="s">
        <v>221</v>
      </c>
      <c r="C102" s="2" t="s">
        <v>32</v>
      </c>
      <c r="D102" s="1" t="s">
        <v>11</v>
      </c>
      <c r="E102" s="7">
        <v>1</v>
      </c>
      <c r="F102" s="12">
        <v>135</v>
      </c>
      <c r="G102" s="7">
        <v>0</v>
      </c>
      <c r="H102" s="10">
        <v>135</v>
      </c>
      <c r="I102" s="3">
        <v>45171</v>
      </c>
      <c r="J102" s="3" t="s">
        <v>2229</v>
      </c>
      <c r="K102" s="8">
        <v>1</v>
      </c>
    </row>
    <row r="103" spans="1:11" x14ac:dyDescent="0.25">
      <c r="A103" s="2" t="s">
        <v>222</v>
      </c>
      <c r="B103" s="5" t="s">
        <v>223</v>
      </c>
      <c r="C103" s="2" t="s">
        <v>32</v>
      </c>
      <c r="D103" s="1" t="s">
        <v>11</v>
      </c>
      <c r="E103" s="7">
        <v>1</v>
      </c>
      <c r="F103" s="12">
        <v>135</v>
      </c>
      <c r="G103" s="7">
        <v>10</v>
      </c>
      <c r="H103" s="10">
        <v>125</v>
      </c>
      <c r="I103" s="3">
        <v>45171</v>
      </c>
      <c r="J103" s="3" t="s">
        <v>2229</v>
      </c>
      <c r="K103" s="8">
        <v>2</v>
      </c>
    </row>
    <row r="104" spans="1:11" x14ac:dyDescent="0.25">
      <c r="A104" s="2" t="s">
        <v>224</v>
      </c>
      <c r="B104" s="5" t="s">
        <v>225</v>
      </c>
      <c r="C104" s="2" t="s">
        <v>32</v>
      </c>
      <c r="D104" s="1" t="s">
        <v>11</v>
      </c>
      <c r="E104" s="7">
        <v>1</v>
      </c>
      <c r="F104" s="12">
        <v>135</v>
      </c>
      <c r="G104" s="7">
        <v>0</v>
      </c>
      <c r="H104" s="10">
        <v>135</v>
      </c>
      <c r="I104" s="3">
        <v>45171</v>
      </c>
      <c r="J104" s="3" t="s">
        <v>2229</v>
      </c>
      <c r="K104" s="8">
        <v>2</v>
      </c>
    </row>
    <row r="105" spans="1:11" x14ac:dyDescent="0.25">
      <c r="A105" s="2" t="s">
        <v>226</v>
      </c>
      <c r="B105" s="5" t="s">
        <v>227</v>
      </c>
      <c r="C105" s="2" t="s">
        <v>19</v>
      </c>
      <c r="D105" s="1" t="s">
        <v>11</v>
      </c>
      <c r="E105" s="7">
        <v>3</v>
      </c>
      <c r="F105" s="12">
        <v>130</v>
      </c>
      <c r="G105" s="7">
        <v>0</v>
      </c>
      <c r="H105" s="10">
        <v>390</v>
      </c>
      <c r="I105" s="3">
        <v>45262</v>
      </c>
      <c r="J105" s="3" t="s">
        <v>2230</v>
      </c>
      <c r="K105" s="8">
        <v>2</v>
      </c>
    </row>
    <row r="106" spans="1:11" x14ac:dyDescent="0.25">
      <c r="A106" s="2" t="s">
        <v>228</v>
      </c>
      <c r="B106" s="5" t="s">
        <v>229</v>
      </c>
      <c r="C106" s="2" t="s">
        <v>19</v>
      </c>
      <c r="D106" s="1" t="s">
        <v>11</v>
      </c>
      <c r="E106" s="7">
        <v>3</v>
      </c>
      <c r="F106" s="12">
        <v>130</v>
      </c>
      <c r="G106" s="7">
        <v>0</v>
      </c>
      <c r="H106" s="10">
        <v>390</v>
      </c>
      <c r="I106" s="3">
        <v>45262</v>
      </c>
      <c r="J106" s="3" t="s">
        <v>2230</v>
      </c>
      <c r="K106" s="8">
        <v>4</v>
      </c>
    </row>
    <row r="107" spans="1:11" x14ac:dyDescent="0.25">
      <c r="A107" s="2" t="s">
        <v>230</v>
      </c>
      <c r="B107" s="5" t="s">
        <v>231</v>
      </c>
      <c r="C107" s="2" t="s">
        <v>232</v>
      </c>
      <c r="D107" s="1" t="s">
        <v>137</v>
      </c>
      <c r="E107" s="7">
        <v>3</v>
      </c>
      <c r="F107" s="12">
        <v>200</v>
      </c>
      <c r="G107" s="7">
        <v>0</v>
      </c>
      <c r="H107" s="10">
        <v>600</v>
      </c>
      <c r="I107" s="3">
        <v>44972</v>
      </c>
      <c r="J107" s="3" t="s">
        <v>2230</v>
      </c>
      <c r="K107" s="8">
        <v>2</v>
      </c>
    </row>
    <row r="108" spans="1:11" x14ac:dyDescent="0.25">
      <c r="A108" s="2" t="s">
        <v>233</v>
      </c>
      <c r="B108" s="5" t="s">
        <v>234</v>
      </c>
      <c r="C108" s="2" t="s">
        <v>93</v>
      </c>
      <c r="D108" s="1" t="s">
        <v>11</v>
      </c>
      <c r="E108" s="7">
        <v>2</v>
      </c>
      <c r="F108" s="12">
        <v>85</v>
      </c>
      <c r="G108" s="7">
        <v>0</v>
      </c>
      <c r="H108" s="10">
        <v>170</v>
      </c>
      <c r="I108" s="3">
        <v>44972</v>
      </c>
      <c r="J108" s="3" t="s">
        <v>2232</v>
      </c>
      <c r="K108" s="8">
        <v>3</v>
      </c>
    </row>
    <row r="109" spans="1:11" x14ac:dyDescent="0.25">
      <c r="A109" s="2" t="s">
        <v>235</v>
      </c>
      <c r="B109" s="5" t="s">
        <v>236</v>
      </c>
      <c r="C109" s="2" t="s">
        <v>232</v>
      </c>
      <c r="D109" s="1" t="s">
        <v>137</v>
      </c>
      <c r="E109" s="7">
        <v>3</v>
      </c>
      <c r="F109" s="12">
        <v>200</v>
      </c>
      <c r="G109" s="7">
        <v>0</v>
      </c>
      <c r="H109" s="10">
        <v>600</v>
      </c>
      <c r="I109" s="3">
        <v>44972</v>
      </c>
      <c r="J109" s="3" t="s">
        <v>2230</v>
      </c>
      <c r="K109" s="8">
        <v>3</v>
      </c>
    </row>
    <row r="110" spans="1:11" x14ac:dyDescent="0.25">
      <c r="A110" s="2" t="s">
        <v>237</v>
      </c>
      <c r="B110" s="5" t="s">
        <v>238</v>
      </c>
      <c r="C110" s="2" t="s">
        <v>93</v>
      </c>
      <c r="D110" s="1" t="s">
        <v>11</v>
      </c>
      <c r="E110" s="7">
        <v>2</v>
      </c>
      <c r="F110" s="12">
        <v>85</v>
      </c>
      <c r="G110" s="7">
        <v>0</v>
      </c>
      <c r="H110" s="10">
        <v>170</v>
      </c>
      <c r="I110" s="3">
        <v>44972</v>
      </c>
      <c r="J110" s="3" t="s">
        <v>2232</v>
      </c>
      <c r="K110" s="8">
        <v>4</v>
      </c>
    </row>
    <row r="111" spans="1:11" x14ac:dyDescent="0.25">
      <c r="A111" s="2" t="s">
        <v>239</v>
      </c>
      <c r="B111" s="5" t="s">
        <v>240</v>
      </c>
      <c r="C111" s="2" t="s">
        <v>232</v>
      </c>
      <c r="D111" s="1" t="s">
        <v>137</v>
      </c>
      <c r="E111" s="7">
        <v>3</v>
      </c>
      <c r="F111" s="12">
        <v>200</v>
      </c>
      <c r="G111" s="7">
        <v>0</v>
      </c>
      <c r="H111" s="10">
        <v>600</v>
      </c>
      <c r="I111" s="3">
        <v>44972</v>
      </c>
      <c r="J111" s="3" t="s">
        <v>2230</v>
      </c>
      <c r="K111" s="8">
        <v>4</v>
      </c>
    </row>
    <row r="112" spans="1:11" x14ac:dyDescent="0.25">
      <c r="A112" s="2" t="s">
        <v>241</v>
      </c>
      <c r="B112" s="5" t="s">
        <v>242</v>
      </c>
      <c r="C112" s="2" t="s">
        <v>93</v>
      </c>
      <c r="D112" s="1" t="s">
        <v>11</v>
      </c>
      <c r="E112" s="7">
        <v>2</v>
      </c>
      <c r="F112" s="12">
        <v>85</v>
      </c>
      <c r="G112" s="7">
        <v>0</v>
      </c>
      <c r="H112" s="10">
        <v>170</v>
      </c>
      <c r="I112" s="3">
        <v>44972</v>
      </c>
      <c r="J112" s="3" t="s">
        <v>2232</v>
      </c>
      <c r="K112" s="8">
        <v>1</v>
      </c>
    </row>
    <row r="113" spans="1:11" x14ac:dyDescent="0.25">
      <c r="A113" s="2" t="s">
        <v>243</v>
      </c>
      <c r="B113" s="5" t="s">
        <v>244</v>
      </c>
      <c r="C113" s="2" t="s">
        <v>70</v>
      </c>
      <c r="D113" s="1" t="s">
        <v>11</v>
      </c>
      <c r="E113" s="7">
        <v>1</v>
      </c>
      <c r="F113" s="12">
        <v>125</v>
      </c>
      <c r="G113" s="7">
        <v>10</v>
      </c>
      <c r="H113" s="10">
        <v>115</v>
      </c>
      <c r="I113" s="3">
        <v>44974</v>
      </c>
      <c r="J113" s="3" t="s">
        <v>2234</v>
      </c>
      <c r="K113" s="8">
        <v>1</v>
      </c>
    </row>
    <row r="114" spans="1:11" x14ac:dyDescent="0.25">
      <c r="A114" s="2" t="s">
        <v>245</v>
      </c>
      <c r="B114" s="5" t="s">
        <v>246</v>
      </c>
      <c r="C114" s="2" t="s">
        <v>19</v>
      </c>
      <c r="D114" s="1" t="s">
        <v>11</v>
      </c>
      <c r="E114" s="7">
        <v>3</v>
      </c>
      <c r="F114" s="12">
        <v>130</v>
      </c>
      <c r="G114" s="7">
        <v>0</v>
      </c>
      <c r="H114" s="10">
        <v>390</v>
      </c>
      <c r="I114" s="3">
        <v>44974</v>
      </c>
      <c r="J114" s="3" t="s">
        <v>2235</v>
      </c>
      <c r="K114" s="8">
        <v>2</v>
      </c>
    </row>
    <row r="115" spans="1:11" x14ac:dyDescent="0.25">
      <c r="A115" s="2" t="s">
        <v>247</v>
      </c>
      <c r="B115" s="5" t="s">
        <v>248</v>
      </c>
      <c r="C115" s="2" t="s">
        <v>70</v>
      </c>
      <c r="D115" s="1" t="s">
        <v>11</v>
      </c>
      <c r="E115" s="7">
        <v>1</v>
      </c>
      <c r="F115" s="12">
        <v>125</v>
      </c>
      <c r="G115" s="7">
        <v>10</v>
      </c>
      <c r="H115" s="10">
        <v>115</v>
      </c>
      <c r="I115" s="3">
        <v>44974</v>
      </c>
      <c r="J115" s="3" t="s">
        <v>2234</v>
      </c>
      <c r="K115" s="8">
        <v>1</v>
      </c>
    </row>
    <row r="116" spans="1:11" x14ac:dyDescent="0.25">
      <c r="A116" s="2" t="s">
        <v>249</v>
      </c>
      <c r="B116" s="5" t="s">
        <v>250</v>
      </c>
      <c r="C116" s="2" t="s">
        <v>19</v>
      </c>
      <c r="D116" s="1" t="s">
        <v>11</v>
      </c>
      <c r="E116" s="7">
        <v>3</v>
      </c>
      <c r="F116" s="12">
        <v>130</v>
      </c>
      <c r="G116" s="7">
        <v>0</v>
      </c>
      <c r="H116" s="10">
        <v>390</v>
      </c>
      <c r="I116" s="3">
        <v>44974</v>
      </c>
      <c r="J116" s="3" t="s">
        <v>2235</v>
      </c>
      <c r="K116" s="8">
        <v>4</v>
      </c>
    </row>
    <row r="117" spans="1:11" x14ac:dyDescent="0.25">
      <c r="A117" s="2" t="s">
        <v>251</v>
      </c>
      <c r="B117" s="5" t="s">
        <v>252</v>
      </c>
      <c r="C117" s="2" t="s">
        <v>19</v>
      </c>
      <c r="D117" s="1" t="s">
        <v>11</v>
      </c>
      <c r="E117" s="7">
        <v>3</v>
      </c>
      <c r="F117" s="12">
        <v>130</v>
      </c>
      <c r="G117" s="7">
        <v>0</v>
      </c>
      <c r="H117" s="10">
        <v>390</v>
      </c>
      <c r="I117" s="3">
        <v>44974</v>
      </c>
      <c r="J117" s="3" t="s">
        <v>2235</v>
      </c>
      <c r="K117" s="8">
        <v>2</v>
      </c>
    </row>
    <row r="118" spans="1:11" x14ac:dyDescent="0.25">
      <c r="A118" s="2" t="s">
        <v>253</v>
      </c>
      <c r="B118" s="5" t="s">
        <v>254</v>
      </c>
      <c r="C118" s="2" t="s">
        <v>32</v>
      </c>
      <c r="D118" s="1" t="s">
        <v>11</v>
      </c>
      <c r="E118" s="7">
        <v>3</v>
      </c>
      <c r="F118" s="12">
        <v>135</v>
      </c>
      <c r="G118" s="7">
        <v>5</v>
      </c>
      <c r="H118" s="10">
        <v>400</v>
      </c>
      <c r="I118" s="3">
        <v>44975</v>
      </c>
      <c r="J118" s="3" t="s">
        <v>2237</v>
      </c>
      <c r="K118" s="8">
        <v>4</v>
      </c>
    </row>
    <row r="119" spans="1:11" x14ac:dyDescent="0.25">
      <c r="A119" s="2" t="s">
        <v>255</v>
      </c>
      <c r="B119" s="5" t="s">
        <v>256</v>
      </c>
      <c r="C119" s="2" t="s">
        <v>19</v>
      </c>
      <c r="D119" s="1" t="s">
        <v>11</v>
      </c>
      <c r="E119" s="7">
        <v>1</v>
      </c>
      <c r="F119" s="12">
        <v>130</v>
      </c>
      <c r="G119" s="7">
        <v>0</v>
      </c>
      <c r="H119" s="10">
        <v>130</v>
      </c>
      <c r="I119" s="3">
        <v>44975</v>
      </c>
      <c r="J119" s="3" t="s">
        <v>2237</v>
      </c>
      <c r="K119" s="8">
        <v>3</v>
      </c>
    </row>
    <row r="120" spans="1:11" x14ac:dyDescent="0.25">
      <c r="A120" s="2" t="s">
        <v>257</v>
      </c>
      <c r="B120" s="5" t="s">
        <v>258</v>
      </c>
      <c r="C120" s="2" t="s">
        <v>70</v>
      </c>
      <c r="D120" s="1" t="s">
        <v>11</v>
      </c>
      <c r="E120" s="7">
        <v>1</v>
      </c>
      <c r="F120" s="12">
        <v>125</v>
      </c>
      <c r="G120" s="7">
        <v>0</v>
      </c>
      <c r="H120" s="10">
        <v>125</v>
      </c>
      <c r="I120" s="3">
        <v>44975</v>
      </c>
      <c r="J120" s="3" t="s">
        <v>2238</v>
      </c>
      <c r="K120" s="8">
        <v>3</v>
      </c>
    </row>
    <row r="121" spans="1:11" x14ac:dyDescent="0.25">
      <c r="A121" s="2" t="s">
        <v>259</v>
      </c>
      <c r="B121" s="5" t="s">
        <v>260</v>
      </c>
      <c r="C121" s="2" t="s">
        <v>19</v>
      </c>
      <c r="D121" s="1" t="s">
        <v>11</v>
      </c>
      <c r="E121" s="7">
        <v>1</v>
      </c>
      <c r="F121" s="12">
        <v>130</v>
      </c>
      <c r="G121" s="7">
        <v>10</v>
      </c>
      <c r="H121" s="10">
        <v>120</v>
      </c>
      <c r="I121" s="3">
        <v>44975</v>
      </c>
      <c r="J121" s="3" t="s">
        <v>2239</v>
      </c>
      <c r="K121" s="8">
        <v>1</v>
      </c>
    </row>
    <row r="122" spans="1:11" x14ac:dyDescent="0.25">
      <c r="A122" s="2" t="s">
        <v>261</v>
      </c>
      <c r="B122" s="5" t="s">
        <v>262</v>
      </c>
      <c r="C122" s="2" t="s">
        <v>32</v>
      </c>
      <c r="D122" s="1" t="s">
        <v>11</v>
      </c>
      <c r="E122" s="7">
        <v>3</v>
      </c>
      <c r="F122" s="12">
        <v>135</v>
      </c>
      <c r="G122" s="7">
        <v>5</v>
      </c>
      <c r="H122" s="10">
        <v>400</v>
      </c>
      <c r="I122" s="3">
        <v>44975</v>
      </c>
      <c r="J122" s="3" t="s">
        <v>2237</v>
      </c>
      <c r="K122" s="8">
        <v>3</v>
      </c>
    </row>
    <row r="123" spans="1:11" x14ac:dyDescent="0.25">
      <c r="A123" s="2" t="s">
        <v>263</v>
      </c>
      <c r="B123" s="5" t="s">
        <v>264</v>
      </c>
      <c r="C123" s="2" t="s">
        <v>19</v>
      </c>
      <c r="D123" s="1" t="s">
        <v>11</v>
      </c>
      <c r="E123" s="7">
        <v>1</v>
      </c>
      <c r="F123" s="12">
        <v>130</v>
      </c>
      <c r="G123" s="7">
        <v>0</v>
      </c>
      <c r="H123" s="10">
        <v>130</v>
      </c>
      <c r="I123" s="3">
        <v>44975</v>
      </c>
      <c r="J123" s="3" t="s">
        <v>2237</v>
      </c>
      <c r="K123" s="8">
        <v>1</v>
      </c>
    </row>
    <row r="124" spans="1:11" x14ac:dyDescent="0.25">
      <c r="A124" s="2" t="s">
        <v>265</v>
      </c>
      <c r="B124" s="5" t="s">
        <v>266</v>
      </c>
      <c r="C124" s="2" t="s">
        <v>70</v>
      </c>
      <c r="D124" s="1" t="s">
        <v>11</v>
      </c>
      <c r="E124" s="7">
        <v>1</v>
      </c>
      <c r="F124" s="12">
        <v>125</v>
      </c>
      <c r="G124" s="7">
        <v>0</v>
      </c>
      <c r="H124" s="10">
        <v>125</v>
      </c>
      <c r="I124" s="3">
        <v>44975</v>
      </c>
      <c r="J124" s="3" t="s">
        <v>2238</v>
      </c>
      <c r="K124" s="8">
        <v>2</v>
      </c>
    </row>
    <row r="125" spans="1:11" x14ac:dyDescent="0.25">
      <c r="A125" s="2" t="s">
        <v>267</v>
      </c>
      <c r="B125" s="5" t="s">
        <v>268</v>
      </c>
      <c r="C125" s="2" t="s">
        <v>19</v>
      </c>
      <c r="D125" s="1" t="s">
        <v>11</v>
      </c>
      <c r="E125" s="7">
        <v>1</v>
      </c>
      <c r="F125" s="12">
        <v>130</v>
      </c>
      <c r="G125" s="7">
        <v>10</v>
      </c>
      <c r="H125" s="10">
        <v>120</v>
      </c>
      <c r="I125" s="3">
        <v>44975</v>
      </c>
      <c r="J125" s="3" t="s">
        <v>2239</v>
      </c>
      <c r="K125" s="8">
        <v>3</v>
      </c>
    </row>
    <row r="126" spans="1:11" x14ac:dyDescent="0.25">
      <c r="A126" s="2" t="s">
        <v>269</v>
      </c>
      <c r="B126" s="5" t="s">
        <v>270</v>
      </c>
      <c r="C126" s="2" t="s">
        <v>19</v>
      </c>
      <c r="D126" s="1" t="s">
        <v>11</v>
      </c>
      <c r="E126" s="7">
        <v>2</v>
      </c>
      <c r="F126" s="12">
        <v>130</v>
      </c>
      <c r="G126" s="7">
        <v>0</v>
      </c>
      <c r="H126" s="10">
        <v>260</v>
      </c>
      <c r="I126" s="3">
        <v>44976</v>
      </c>
      <c r="J126" s="3" t="s">
        <v>2234</v>
      </c>
      <c r="K126" s="8">
        <v>3</v>
      </c>
    </row>
    <row r="127" spans="1:11" x14ac:dyDescent="0.25">
      <c r="A127" s="2" t="s">
        <v>271</v>
      </c>
      <c r="B127" s="5" t="s">
        <v>272</v>
      </c>
      <c r="C127" s="2" t="s">
        <v>19</v>
      </c>
      <c r="D127" s="1" t="s">
        <v>11</v>
      </c>
      <c r="E127" s="7">
        <v>2</v>
      </c>
      <c r="F127" s="12">
        <v>130</v>
      </c>
      <c r="G127" s="7">
        <v>0</v>
      </c>
      <c r="H127" s="10">
        <v>260</v>
      </c>
      <c r="I127" s="3">
        <v>44976</v>
      </c>
      <c r="J127" s="3" t="s">
        <v>2234</v>
      </c>
      <c r="K127" s="8">
        <v>3</v>
      </c>
    </row>
    <row r="128" spans="1:11" x14ac:dyDescent="0.25">
      <c r="A128" s="2" t="s">
        <v>273</v>
      </c>
      <c r="B128" s="5" t="s">
        <v>274</v>
      </c>
      <c r="C128" s="2" t="s">
        <v>32</v>
      </c>
      <c r="D128" s="1" t="s">
        <v>11</v>
      </c>
      <c r="E128" s="7">
        <v>1</v>
      </c>
      <c r="F128" s="12">
        <v>135</v>
      </c>
      <c r="G128" s="7">
        <v>0</v>
      </c>
      <c r="H128" s="10">
        <v>135</v>
      </c>
      <c r="I128" s="3">
        <v>44977</v>
      </c>
      <c r="J128" s="3" t="s">
        <v>2242</v>
      </c>
      <c r="K128" s="8">
        <v>1</v>
      </c>
    </row>
    <row r="129" spans="1:11" x14ac:dyDescent="0.25">
      <c r="A129" s="2" t="s">
        <v>275</v>
      </c>
      <c r="B129" s="5" t="s">
        <v>276</v>
      </c>
      <c r="C129" s="2" t="s">
        <v>32</v>
      </c>
      <c r="D129" s="1" t="s">
        <v>11</v>
      </c>
      <c r="E129" s="7">
        <v>1</v>
      </c>
      <c r="F129" s="12">
        <v>135</v>
      </c>
      <c r="G129" s="7">
        <v>0</v>
      </c>
      <c r="H129" s="10">
        <v>135</v>
      </c>
      <c r="I129" s="3">
        <v>44977</v>
      </c>
      <c r="J129" s="3" t="s">
        <v>2242</v>
      </c>
      <c r="K129" s="8">
        <v>3</v>
      </c>
    </row>
    <row r="130" spans="1:11" x14ac:dyDescent="0.25">
      <c r="A130" s="2" t="s">
        <v>277</v>
      </c>
      <c r="B130" s="5" t="s">
        <v>278</v>
      </c>
      <c r="C130" s="2" t="s">
        <v>19</v>
      </c>
      <c r="D130" s="1" t="s">
        <v>11</v>
      </c>
      <c r="E130" s="7">
        <v>1</v>
      </c>
      <c r="F130" s="12">
        <v>130</v>
      </c>
      <c r="G130" s="7">
        <v>0</v>
      </c>
      <c r="H130" s="10">
        <v>130</v>
      </c>
      <c r="I130" s="3">
        <v>44978</v>
      </c>
      <c r="J130" s="3" t="s">
        <v>2244</v>
      </c>
      <c r="K130" s="8">
        <v>4</v>
      </c>
    </row>
    <row r="131" spans="1:11" x14ac:dyDescent="0.25">
      <c r="A131" s="2" t="s">
        <v>279</v>
      </c>
      <c r="B131" s="5" t="s">
        <v>280</v>
      </c>
      <c r="C131" s="2" t="s">
        <v>19</v>
      </c>
      <c r="D131" s="1" t="s">
        <v>11</v>
      </c>
      <c r="E131" s="7">
        <v>1</v>
      </c>
      <c r="F131" s="12">
        <v>130</v>
      </c>
      <c r="G131" s="7">
        <v>0</v>
      </c>
      <c r="H131" s="10">
        <v>130</v>
      </c>
      <c r="I131" s="3">
        <v>44978</v>
      </c>
      <c r="J131" s="3" t="s">
        <v>2244</v>
      </c>
      <c r="K131" s="8">
        <v>2</v>
      </c>
    </row>
    <row r="132" spans="1:11" x14ac:dyDescent="0.25">
      <c r="A132" s="2" t="s">
        <v>281</v>
      </c>
      <c r="B132" s="5" t="s">
        <v>282</v>
      </c>
      <c r="C132" s="2" t="s">
        <v>19</v>
      </c>
      <c r="D132" s="1" t="s">
        <v>11</v>
      </c>
      <c r="E132" s="7">
        <v>1</v>
      </c>
      <c r="F132" s="12">
        <v>130</v>
      </c>
      <c r="G132" s="7">
        <v>0</v>
      </c>
      <c r="H132" s="10">
        <v>130</v>
      </c>
      <c r="I132" s="3">
        <v>44978</v>
      </c>
      <c r="J132" s="3" t="s">
        <v>2244</v>
      </c>
      <c r="K132" s="8">
        <v>1</v>
      </c>
    </row>
    <row r="133" spans="1:11" x14ac:dyDescent="0.25">
      <c r="A133" s="2" t="s">
        <v>283</v>
      </c>
      <c r="B133" s="5" t="s">
        <v>284</v>
      </c>
      <c r="C133" s="2" t="s">
        <v>19</v>
      </c>
      <c r="D133" s="1" t="s">
        <v>11</v>
      </c>
      <c r="E133" s="7">
        <v>2</v>
      </c>
      <c r="F133" s="12">
        <v>130</v>
      </c>
      <c r="G133" s="7">
        <v>0</v>
      </c>
      <c r="H133" s="10">
        <v>260</v>
      </c>
      <c r="I133" s="3">
        <v>44979</v>
      </c>
      <c r="J133" s="3" t="s">
        <v>2244</v>
      </c>
      <c r="K133" s="8">
        <v>4</v>
      </c>
    </row>
    <row r="134" spans="1:11" x14ac:dyDescent="0.25">
      <c r="A134" s="2" t="s">
        <v>285</v>
      </c>
      <c r="B134" s="5" t="s">
        <v>286</v>
      </c>
      <c r="C134" s="2" t="s">
        <v>19</v>
      </c>
      <c r="D134" s="1" t="s">
        <v>11</v>
      </c>
      <c r="E134" s="7">
        <v>2</v>
      </c>
      <c r="F134" s="12">
        <v>130</v>
      </c>
      <c r="G134" s="7">
        <v>0</v>
      </c>
      <c r="H134" s="10">
        <v>260</v>
      </c>
      <c r="I134" s="3">
        <v>44979</v>
      </c>
      <c r="J134" s="3" t="s">
        <v>2244</v>
      </c>
      <c r="K134" s="8">
        <v>3</v>
      </c>
    </row>
    <row r="135" spans="1:11" x14ac:dyDescent="0.25">
      <c r="A135" s="2" t="s">
        <v>287</v>
      </c>
      <c r="B135" s="5" t="s">
        <v>288</v>
      </c>
      <c r="C135" s="2" t="s">
        <v>19</v>
      </c>
      <c r="D135" s="1" t="s">
        <v>11</v>
      </c>
      <c r="E135" s="7">
        <v>2</v>
      </c>
      <c r="F135" s="12">
        <v>130</v>
      </c>
      <c r="G135" s="7">
        <v>0</v>
      </c>
      <c r="H135" s="10">
        <v>260</v>
      </c>
      <c r="I135" s="3">
        <v>44979</v>
      </c>
      <c r="J135" s="3" t="s">
        <v>2244</v>
      </c>
      <c r="K135" s="8">
        <v>2</v>
      </c>
    </row>
    <row r="136" spans="1:11" x14ac:dyDescent="0.25">
      <c r="A136" s="2" t="s">
        <v>289</v>
      </c>
      <c r="B136" s="5" t="s">
        <v>290</v>
      </c>
      <c r="C136" s="2" t="s">
        <v>32</v>
      </c>
      <c r="D136" s="1" t="s">
        <v>11</v>
      </c>
      <c r="E136" s="7">
        <v>1</v>
      </c>
      <c r="F136" s="12">
        <v>135</v>
      </c>
      <c r="G136" s="7">
        <v>0</v>
      </c>
      <c r="H136" s="10">
        <v>135</v>
      </c>
      <c r="I136" s="3">
        <v>44980</v>
      </c>
      <c r="J136" s="3" t="s">
        <v>2244</v>
      </c>
      <c r="K136" s="8">
        <v>2</v>
      </c>
    </row>
    <row r="137" spans="1:11" x14ac:dyDescent="0.25">
      <c r="A137" s="2" t="s">
        <v>291</v>
      </c>
      <c r="B137" s="5" t="s">
        <v>292</v>
      </c>
      <c r="C137" s="2" t="s">
        <v>19</v>
      </c>
      <c r="D137" s="1" t="s">
        <v>11</v>
      </c>
      <c r="E137" s="7">
        <v>2</v>
      </c>
      <c r="F137" s="12">
        <v>130</v>
      </c>
      <c r="G137" s="7">
        <v>5</v>
      </c>
      <c r="H137" s="10">
        <v>255</v>
      </c>
      <c r="I137" s="3">
        <v>44980</v>
      </c>
      <c r="J137" s="3" t="s">
        <v>2247</v>
      </c>
      <c r="K137" s="8">
        <v>2</v>
      </c>
    </row>
    <row r="138" spans="1:11" x14ac:dyDescent="0.25">
      <c r="A138" s="2" t="s">
        <v>293</v>
      </c>
      <c r="B138" s="5" t="s">
        <v>294</v>
      </c>
      <c r="C138" s="2" t="s">
        <v>32</v>
      </c>
      <c r="D138" s="1" t="s">
        <v>11</v>
      </c>
      <c r="E138" s="7">
        <v>1</v>
      </c>
      <c r="F138" s="12">
        <v>135</v>
      </c>
      <c r="G138" s="7">
        <v>0</v>
      </c>
      <c r="H138" s="10">
        <v>135</v>
      </c>
      <c r="I138" s="3">
        <v>44980</v>
      </c>
      <c r="J138" s="3" t="s">
        <v>2244</v>
      </c>
      <c r="K138" s="8">
        <v>4</v>
      </c>
    </row>
    <row r="139" spans="1:11" x14ac:dyDescent="0.25">
      <c r="A139" s="2" t="s">
        <v>295</v>
      </c>
      <c r="B139" s="5" t="s">
        <v>296</v>
      </c>
      <c r="C139" s="2" t="s">
        <v>19</v>
      </c>
      <c r="D139" s="1" t="s">
        <v>11</v>
      </c>
      <c r="E139" s="7">
        <v>2</v>
      </c>
      <c r="F139" s="12">
        <v>130</v>
      </c>
      <c r="G139" s="7">
        <v>5</v>
      </c>
      <c r="H139" s="10">
        <v>255</v>
      </c>
      <c r="I139" s="3">
        <v>44980</v>
      </c>
      <c r="J139" s="3" t="s">
        <v>2247</v>
      </c>
      <c r="K139" s="8">
        <v>1</v>
      </c>
    </row>
    <row r="140" spans="1:11" x14ac:dyDescent="0.25">
      <c r="A140" s="2" t="s">
        <v>297</v>
      </c>
      <c r="B140" s="5" t="s">
        <v>298</v>
      </c>
      <c r="C140" s="2" t="s">
        <v>47</v>
      </c>
      <c r="D140" s="1" t="s">
        <v>11</v>
      </c>
      <c r="E140" s="7">
        <v>3</v>
      </c>
      <c r="F140" s="12">
        <v>190</v>
      </c>
      <c r="G140" s="7">
        <v>5</v>
      </c>
      <c r="H140" s="10">
        <v>565</v>
      </c>
      <c r="I140" s="3">
        <v>44983</v>
      </c>
      <c r="J140" s="3" t="s">
        <v>2244</v>
      </c>
      <c r="K140" s="8">
        <v>4</v>
      </c>
    </row>
    <row r="141" spans="1:11" x14ac:dyDescent="0.25">
      <c r="A141" s="2" t="s">
        <v>299</v>
      </c>
      <c r="B141" s="5" t="s">
        <v>300</v>
      </c>
      <c r="C141" s="2" t="s">
        <v>47</v>
      </c>
      <c r="D141" s="1" t="s">
        <v>11</v>
      </c>
      <c r="E141" s="7">
        <v>3</v>
      </c>
      <c r="F141" s="12">
        <v>190</v>
      </c>
      <c r="G141" s="7">
        <v>5</v>
      </c>
      <c r="H141" s="10">
        <v>565</v>
      </c>
      <c r="I141" s="3">
        <v>44983</v>
      </c>
      <c r="J141" s="3" t="s">
        <v>2244</v>
      </c>
      <c r="K141" s="8">
        <v>1</v>
      </c>
    </row>
    <row r="142" spans="1:11" x14ac:dyDescent="0.25">
      <c r="A142" s="2" t="s">
        <v>301</v>
      </c>
      <c r="B142" s="5" t="s">
        <v>302</v>
      </c>
      <c r="C142" s="2" t="s">
        <v>47</v>
      </c>
      <c r="D142" s="1" t="s">
        <v>11</v>
      </c>
      <c r="E142" s="7">
        <v>1</v>
      </c>
      <c r="F142" s="12">
        <v>190</v>
      </c>
      <c r="G142" s="7">
        <v>5</v>
      </c>
      <c r="H142" s="10">
        <v>185</v>
      </c>
      <c r="I142" s="3">
        <v>44984</v>
      </c>
      <c r="J142" s="3" t="s">
        <v>2250</v>
      </c>
      <c r="K142" s="8">
        <v>2</v>
      </c>
    </row>
    <row r="143" spans="1:11" x14ac:dyDescent="0.25">
      <c r="A143" s="2" t="s">
        <v>303</v>
      </c>
      <c r="B143" s="5" t="s">
        <v>304</v>
      </c>
      <c r="C143" s="2" t="s">
        <v>47</v>
      </c>
      <c r="D143" s="1" t="s">
        <v>11</v>
      </c>
      <c r="E143" s="7">
        <v>1</v>
      </c>
      <c r="F143" s="12">
        <v>190</v>
      </c>
      <c r="G143" s="7">
        <v>5</v>
      </c>
      <c r="H143" s="10">
        <v>185</v>
      </c>
      <c r="I143" s="3">
        <v>44984</v>
      </c>
      <c r="J143" s="3" t="s">
        <v>2251</v>
      </c>
      <c r="K143" s="8">
        <v>3</v>
      </c>
    </row>
    <row r="144" spans="1:11" x14ac:dyDescent="0.25">
      <c r="A144" s="2" t="s">
        <v>305</v>
      </c>
      <c r="B144" s="5" t="s">
        <v>306</v>
      </c>
      <c r="C144" s="2" t="s">
        <v>47</v>
      </c>
      <c r="D144" s="1" t="s">
        <v>11</v>
      </c>
      <c r="E144" s="7">
        <v>1</v>
      </c>
      <c r="F144" s="12">
        <v>190</v>
      </c>
      <c r="G144" s="7">
        <v>5</v>
      </c>
      <c r="H144" s="10">
        <v>185</v>
      </c>
      <c r="I144" s="3">
        <v>44984</v>
      </c>
      <c r="J144" s="3" t="s">
        <v>2250</v>
      </c>
      <c r="K144" s="8">
        <v>4</v>
      </c>
    </row>
    <row r="145" spans="1:11" x14ac:dyDescent="0.25">
      <c r="A145" s="2" t="s">
        <v>307</v>
      </c>
      <c r="B145" s="5" t="s">
        <v>308</v>
      </c>
      <c r="C145" s="2" t="s">
        <v>47</v>
      </c>
      <c r="D145" s="1" t="s">
        <v>11</v>
      </c>
      <c r="E145" s="7">
        <v>1</v>
      </c>
      <c r="F145" s="12">
        <v>190</v>
      </c>
      <c r="G145" s="7">
        <v>5</v>
      </c>
      <c r="H145" s="10">
        <v>185</v>
      </c>
      <c r="I145" s="3">
        <v>44984</v>
      </c>
      <c r="J145" s="3" t="s">
        <v>2251</v>
      </c>
      <c r="K145" s="8">
        <v>1</v>
      </c>
    </row>
    <row r="146" spans="1:11" x14ac:dyDescent="0.25">
      <c r="A146" s="2" t="s">
        <v>309</v>
      </c>
      <c r="B146" s="5" t="s">
        <v>310</v>
      </c>
      <c r="C146" s="2" t="s">
        <v>47</v>
      </c>
      <c r="D146" s="1" t="s">
        <v>11</v>
      </c>
      <c r="E146" s="7">
        <v>1</v>
      </c>
      <c r="F146" s="12">
        <v>190</v>
      </c>
      <c r="G146" s="7">
        <v>5</v>
      </c>
      <c r="H146" s="10">
        <v>185</v>
      </c>
      <c r="I146" s="3">
        <v>44984</v>
      </c>
      <c r="J146" s="3" t="s">
        <v>2250</v>
      </c>
      <c r="K146" s="8">
        <v>2</v>
      </c>
    </row>
    <row r="147" spans="1:11" x14ac:dyDescent="0.25">
      <c r="A147" s="2" t="s">
        <v>311</v>
      </c>
      <c r="B147" s="5" t="s">
        <v>312</v>
      </c>
      <c r="C147" s="2" t="s">
        <v>136</v>
      </c>
      <c r="D147" s="1" t="s">
        <v>137</v>
      </c>
      <c r="E147" s="7">
        <v>1</v>
      </c>
      <c r="F147" s="12">
        <v>220</v>
      </c>
      <c r="G147" s="7">
        <v>10</v>
      </c>
      <c r="H147" s="10">
        <v>210</v>
      </c>
      <c r="I147" s="3">
        <v>44985</v>
      </c>
      <c r="J147" s="3" t="s">
        <v>2253</v>
      </c>
      <c r="K147" s="8">
        <v>3</v>
      </c>
    </row>
    <row r="148" spans="1:11" x14ac:dyDescent="0.25">
      <c r="A148" s="2" t="s">
        <v>313</v>
      </c>
      <c r="B148" s="5" t="s">
        <v>314</v>
      </c>
      <c r="C148" s="2" t="s">
        <v>136</v>
      </c>
      <c r="D148" s="1" t="s">
        <v>137</v>
      </c>
      <c r="E148" s="7">
        <v>1</v>
      </c>
      <c r="F148" s="12">
        <v>220</v>
      </c>
      <c r="G148" s="7">
        <v>10</v>
      </c>
      <c r="H148" s="10">
        <v>210</v>
      </c>
      <c r="I148" s="3">
        <v>44985</v>
      </c>
      <c r="J148" s="3" t="s">
        <v>2253</v>
      </c>
      <c r="K148" s="8">
        <v>1</v>
      </c>
    </row>
    <row r="149" spans="1:11" x14ac:dyDescent="0.25">
      <c r="A149" s="2" t="s">
        <v>315</v>
      </c>
      <c r="B149" s="5" t="s">
        <v>316</v>
      </c>
      <c r="C149" s="2" t="s">
        <v>317</v>
      </c>
      <c r="D149" s="1" t="s">
        <v>137</v>
      </c>
      <c r="E149" s="7">
        <v>1</v>
      </c>
      <c r="F149" s="12">
        <v>215</v>
      </c>
      <c r="G149" s="7">
        <v>10</v>
      </c>
      <c r="H149" s="10">
        <v>205</v>
      </c>
      <c r="I149" s="3">
        <v>44929</v>
      </c>
      <c r="J149" s="3" t="s">
        <v>2254</v>
      </c>
      <c r="K149" s="8">
        <v>4</v>
      </c>
    </row>
    <row r="150" spans="1:11" x14ac:dyDescent="0.25">
      <c r="A150" s="2" t="s">
        <v>318</v>
      </c>
      <c r="B150" s="5" t="s">
        <v>319</v>
      </c>
      <c r="C150" s="2" t="s">
        <v>317</v>
      </c>
      <c r="D150" s="1" t="s">
        <v>137</v>
      </c>
      <c r="E150" s="7">
        <v>1</v>
      </c>
      <c r="F150" s="12">
        <v>215</v>
      </c>
      <c r="G150" s="7">
        <v>10</v>
      </c>
      <c r="H150" s="10">
        <v>205</v>
      </c>
      <c r="I150" s="3">
        <v>44929</v>
      </c>
      <c r="J150" s="3" t="s">
        <v>2254</v>
      </c>
      <c r="K150" s="8">
        <v>1</v>
      </c>
    </row>
    <row r="151" spans="1:11" x14ac:dyDescent="0.25">
      <c r="A151" s="2" t="s">
        <v>320</v>
      </c>
      <c r="B151" s="5" t="s">
        <v>321</v>
      </c>
      <c r="C151" s="2" t="s">
        <v>93</v>
      </c>
      <c r="D151" s="1" t="s">
        <v>11</v>
      </c>
      <c r="E151" s="7">
        <v>1</v>
      </c>
      <c r="F151" s="12">
        <v>85</v>
      </c>
      <c r="G151" s="7">
        <v>0</v>
      </c>
      <c r="H151" s="10">
        <v>85</v>
      </c>
      <c r="I151" s="3">
        <v>45049</v>
      </c>
      <c r="J151" s="3" t="s">
        <v>2255</v>
      </c>
      <c r="K151" s="8">
        <v>2</v>
      </c>
    </row>
    <row r="152" spans="1:11" x14ac:dyDescent="0.25">
      <c r="A152" s="2" t="s">
        <v>322</v>
      </c>
      <c r="B152" s="5" t="s">
        <v>323</v>
      </c>
      <c r="C152" s="2" t="s">
        <v>19</v>
      </c>
      <c r="D152" s="1" t="s">
        <v>11</v>
      </c>
      <c r="E152" s="7">
        <v>1</v>
      </c>
      <c r="F152" s="12">
        <v>130</v>
      </c>
      <c r="G152" s="7">
        <v>5</v>
      </c>
      <c r="H152" s="10">
        <v>125</v>
      </c>
      <c r="I152" s="3">
        <v>45049</v>
      </c>
      <c r="J152" s="3" t="s">
        <v>2255</v>
      </c>
      <c r="K152" s="8">
        <v>2</v>
      </c>
    </row>
    <row r="153" spans="1:11" x14ac:dyDescent="0.25">
      <c r="A153" s="2" t="s">
        <v>324</v>
      </c>
      <c r="B153" s="5" t="s">
        <v>325</v>
      </c>
      <c r="C153" s="2" t="s">
        <v>19</v>
      </c>
      <c r="D153" s="1" t="s">
        <v>11</v>
      </c>
      <c r="E153" s="7">
        <v>1</v>
      </c>
      <c r="F153" s="12">
        <v>130</v>
      </c>
      <c r="G153" s="7">
        <v>5</v>
      </c>
      <c r="H153" s="10">
        <v>125</v>
      </c>
      <c r="I153" s="3">
        <v>45049</v>
      </c>
      <c r="J153" s="3" t="s">
        <v>2255</v>
      </c>
      <c r="K153" s="8">
        <v>2</v>
      </c>
    </row>
    <row r="154" spans="1:11" x14ac:dyDescent="0.25">
      <c r="A154" s="2" t="s">
        <v>326</v>
      </c>
      <c r="B154" s="5" t="s">
        <v>327</v>
      </c>
      <c r="C154" s="2" t="s">
        <v>93</v>
      </c>
      <c r="D154" s="1" t="s">
        <v>11</v>
      </c>
      <c r="E154" s="7">
        <v>1</v>
      </c>
      <c r="F154" s="12">
        <v>85</v>
      </c>
      <c r="G154" s="7">
        <v>0</v>
      </c>
      <c r="H154" s="10">
        <v>85</v>
      </c>
      <c r="I154" s="3">
        <v>45049</v>
      </c>
      <c r="J154" s="3" t="s">
        <v>2255</v>
      </c>
      <c r="K154" s="8">
        <v>4</v>
      </c>
    </row>
    <row r="155" spans="1:11" x14ac:dyDescent="0.25">
      <c r="A155" s="2" t="s">
        <v>328</v>
      </c>
      <c r="B155" s="5" t="s">
        <v>329</v>
      </c>
      <c r="C155" s="2" t="s">
        <v>19</v>
      </c>
      <c r="D155" s="1" t="s">
        <v>11</v>
      </c>
      <c r="E155" s="7">
        <v>1</v>
      </c>
      <c r="F155" s="12">
        <v>130</v>
      </c>
      <c r="G155" s="7">
        <v>5</v>
      </c>
      <c r="H155" s="10">
        <v>125</v>
      </c>
      <c r="I155" s="3">
        <v>45049</v>
      </c>
      <c r="J155" s="3" t="s">
        <v>2255</v>
      </c>
      <c r="K155" s="8">
        <v>3</v>
      </c>
    </row>
    <row r="156" spans="1:11" x14ac:dyDescent="0.25">
      <c r="A156" s="2" t="s">
        <v>330</v>
      </c>
      <c r="B156" s="5" t="s">
        <v>331</v>
      </c>
      <c r="C156" s="2" t="s">
        <v>19</v>
      </c>
      <c r="D156" s="1" t="s">
        <v>11</v>
      </c>
      <c r="E156" s="7">
        <v>1</v>
      </c>
      <c r="F156" s="12">
        <v>130</v>
      </c>
      <c r="G156" s="7">
        <v>5</v>
      </c>
      <c r="H156" s="10">
        <v>125</v>
      </c>
      <c r="I156" s="3">
        <v>45049</v>
      </c>
      <c r="J156" s="3" t="s">
        <v>2255</v>
      </c>
      <c r="K156" s="8">
        <v>4</v>
      </c>
    </row>
    <row r="157" spans="1:11" x14ac:dyDescent="0.25">
      <c r="A157" s="2" t="s">
        <v>332</v>
      </c>
      <c r="B157" s="5" t="s">
        <v>333</v>
      </c>
      <c r="C157" s="2" t="s">
        <v>19</v>
      </c>
      <c r="D157" s="1" t="s">
        <v>11</v>
      </c>
      <c r="E157" s="7">
        <v>3</v>
      </c>
      <c r="F157" s="12">
        <v>130</v>
      </c>
      <c r="G157" s="7">
        <v>0</v>
      </c>
      <c r="H157" s="10">
        <v>390</v>
      </c>
      <c r="I157" s="3">
        <v>45080</v>
      </c>
      <c r="J157" s="3" t="s">
        <v>2256</v>
      </c>
      <c r="K157" s="8">
        <v>2</v>
      </c>
    </row>
    <row r="158" spans="1:11" x14ac:dyDescent="0.25">
      <c r="A158" s="2" t="s">
        <v>334</v>
      </c>
      <c r="B158" s="5" t="s">
        <v>335</v>
      </c>
      <c r="C158" s="2" t="s">
        <v>19</v>
      </c>
      <c r="D158" s="1" t="s">
        <v>11</v>
      </c>
      <c r="E158" s="7">
        <v>1</v>
      </c>
      <c r="F158" s="12">
        <v>130</v>
      </c>
      <c r="G158" s="7">
        <v>0</v>
      </c>
      <c r="H158" s="10">
        <v>130</v>
      </c>
      <c r="I158" s="3">
        <v>45080</v>
      </c>
      <c r="J158" s="3" t="s">
        <v>2257</v>
      </c>
      <c r="K158" s="8">
        <v>2</v>
      </c>
    </row>
    <row r="159" spans="1:11" x14ac:dyDescent="0.25">
      <c r="A159" s="2" t="s">
        <v>336</v>
      </c>
      <c r="B159" s="5" t="s">
        <v>337</v>
      </c>
      <c r="C159" s="2" t="s">
        <v>32</v>
      </c>
      <c r="D159" s="1" t="s">
        <v>11</v>
      </c>
      <c r="E159" s="7">
        <v>1</v>
      </c>
      <c r="F159" s="12">
        <v>135</v>
      </c>
      <c r="G159" s="7">
        <v>0</v>
      </c>
      <c r="H159" s="10">
        <v>135</v>
      </c>
      <c r="I159" s="3">
        <v>45080</v>
      </c>
      <c r="J159" s="3" t="s">
        <v>2258</v>
      </c>
      <c r="K159" s="8">
        <v>4</v>
      </c>
    </row>
    <row r="160" spans="1:11" x14ac:dyDescent="0.25">
      <c r="A160" s="2" t="s">
        <v>338</v>
      </c>
      <c r="B160" s="5" t="s">
        <v>339</v>
      </c>
      <c r="C160" s="2" t="s">
        <v>19</v>
      </c>
      <c r="D160" s="1" t="s">
        <v>11</v>
      </c>
      <c r="E160" s="7">
        <v>1</v>
      </c>
      <c r="F160" s="12">
        <v>130</v>
      </c>
      <c r="G160" s="7">
        <v>10</v>
      </c>
      <c r="H160" s="10">
        <v>120</v>
      </c>
      <c r="I160" s="3">
        <v>45080</v>
      </c>
      <c r="J160" s="3" t="s">
        <v>2256</v>
      </c>
      <c r="K160" s="8">
        <v>1</v>
      </c>
    </row>
    <row r="161" spans="1:11" x14ac:dyDescent="0.25">
      <c r="A161" s="2" t="s">
        <v>340</v>
      </c>
      <c r="B161" s="5" t="s">
        <v>341</v>
      </c>
      <c r="C161" s="2" t="s">
        <v>19</v>
      </c>
      <c r="D161" s="1" t="s">
        <v>11</v>
      </c>
      <c r="E161" s="7">
        <v>3</v>
      </c>
      <c r="F161" s="12">
        <v>130</v>
      </c>
      <c r="G161" s="7">
        <v>0</v>
      </c>
      <c r="H161" s="10">
        <v>390</v>
      </c>
      <c r="I161" s="3">
        <v>45080</v>
      </c>
      <c r="J161" s="3" t="s">
        <v>2256</v>
      </c>
      <c r="K161" s="8">
        <v>3</v>
      </c>
    </row>
    <row r="162" spans="1:11" x14ac:dyDescent="0.25">
      <c r="A162" s="2" t="s">
        <v>342</v>
      </c>
      <c r="B162" s="5" t="s">
        <v>343</v>
      </c>
      <c r="C162" s="2" t="s">
        <v>19</v>
      </c>
      <c r="D162" s="1" t="s">
        <v>11</v>
      </c>
      <c r="E162" s="7">
        <v>1</v>
      </c>
      <c r="F162" s="12">
        <v>130</v>
      </c>
      <c r="G162" s="7">
        <v>0</v>
      </c>
      <c r="H162" s="10">
        <v>130</v>
      </c>
      <c r="I162" s="3">
        <v>45080</v>
      </c>
      <c r="J162" s="3" t="s">
        <v>2257</v>
      </c>
      <c r="K162" s="8">
        <v>1</v>
      </c>
    </row>
    <row r="163" spans="1:11" x14ac:dyDescent="0.25">
      <c r="A163" s="2" t="s">
        <v>344</v>
      </c>
      <c r="B163" s="5" t="s">
        <v>345</v>
      </c>
      <c r="C163" s="2" t="s">
        <v>32</v>
      </c>
      <c r="D163" s="1" t="s">
        <v>11</v>
      </c>
      <c r="E163" s="7">
        <v>1</v>
      </c>
      <c r="F163" s="12">
        <v>135</v>
      </c>
      <c r="G163" s="7">
        <v>0</v>
      </c>
      <c r="H163" s="10">
        <v>135</v>
      </c>
      <c r="I163" s="3">
        <v>45080</v>
      </c>
      <c r="J163" s="3" t="s">
        <v>2258</v>
      </c>
      <c r="K163" s="8">
        <v>1</v>
      </c>
    </row>
    <row r="164" spans="1:11" x14ac:dyDescent="0.25">
      <c r="A164" s="2" t="s">
        <v>346</v>
      </c>
      <c r="B164" s="5" t="s">
        <v>347</v>
      </c>
      <c r="C164" s="2" t="s">
        <v>19</v>
      </c>
      <c r="D164" s="1" t="s">
        <v>11</v>
      </c>
      <c r="E164" s="7">
        <v>1</v>
      </c>
      <c r="F164" s="12">
        <v>130</v>
      </c>
      <c r="G164" s="7">
        <v>10</v>
      </c>
      <c r="H164" s="10">
        <v>120</v>
      </c>
      <c r="I164" s="3">
        <v>45080</v>
      </c>
      <c r="J164" s="3" t="s">
        <v>2256</v>
      </c>
      <c r="K164" s="8">
        <v>3</v>
      </c>
    </row>
    <row r="165" spans="1:11" x14ac:dyDescent="0.25">
      <c r="A165" s="2" t="s">
        <v>348</v>
      </c>
      <c r="B165" s="5" t="s">
        <v>349</v>
      </c>
      <c r="C165" s="2" t="s">
        <v>19</v>
      </c>
      <c r="D165" s="1" t="s">
        <v>11</v>
      </c>
      <c r="E165" s="7">
        <v>1</v>
      </c>
      <c r="F165" s="12">
        <v>130</v>
      </c>
      <c r="G165" s="7">
        <v>5</v>
      </c>
      <c r="H165" s="10">
        <v>125</v>
      </c>
      <c r="I165" s="3">
        <v>45110</v>
      </c>
      <c r="J165" s="3" t="s">
        <v>2259</v>
      </c>
      <c r="K165" s="8">
        <v>4</v>
      </c>
    </row>
    <row r="166" spans="1:11" x14ac:dyDescent="0.25">
      <c r="A166" s="2" t="s">
        <v>350</v>
      </c>
      <c r="B166" s="5" t="s">
        <v>351</v>
      </c>
      <c r="C166" s="2" t="s">
        <v>47</v>
      </c>
      <c r="D166" s="1" t="s">
        <v>11</v>
      </c>
      <c r="E166" s="7">
        <v>1</v>
      </c>
      <c r="F166" s="12">
        <v>190</v>
      </c>
      <c r="G166" s="7">
        <v>0</v>
      </c>
      <c r="H166" s="10">
        <v>190</v>
      </c>
      <c r="I166" s="3">
        <v>45110</v>
      </c>
      <c r="J166" s="3" t="s">
        <v>2258</v>
      </c>
      <c r="K166" s="8">
        <v>2</v>
      </c>
    </row>
    <row r="167" spans="1:11" x14ac:dyDescent="0.25">
      <c r="A167" s="2" t="s">
        <v>352</v>
      </c>
      <c r="B167" s="5" t="s">
        <v>353</v>
      </c>
      <c r="C167" s="2" t="s">
        <v>19</v>
      </c>
      <c r="D167" s="1" t="s">
        <v>11</v>
      </c>
      <c r="E167" s="7">
        <v>1</v>
      </c>
      <c r="F167" s="12">
        <v>130</v>
      </c>
      <c r="G167" s="7">
        <v>5</v>
      </c>
      <c r="H167" s="10">
        <v>125</v>
      </c>
      <c r="I167" s="3">
        <v>45110</v>
      </c>
      <c r="J167" s="3" t="s">
        <v>2259</v>
      </c>
      <c r="K167" s="8">
        <v>1</v>
      </c>
    </row>
    <row r="168" spans="1:11" x14ac:dyDescent="0.25">
      <c r="A168" s="2" t="s">
        <v>354</v>
      </c>
      <c r="B168" s="5" t="s">
        <v>355</v>
      </c>
      <c r="C168" s="2" t="s">
        <v>47</v>
      </c>
      <c r="D168" s="1" t="s">
        <v>11</v>
      </c>
      <c r="E168" s="7">
        <v>1</v>
      </c>
      <c r="F168" s="12">
        <v>190</v>
      </c>
      <c r="G168" s="7">
        <v>0</v>
      </c>
      <c r="H168" s="10">
        <v>190</v>
      </c>
      <c r="I168" s="3">
        <v>45110</v>
      </c>
      <c r="J168" s="3" t="s">
        <v>2258</v>
      </c>
      <c r="K168" s="8">
        <v>1</v>
      </c>
    </row>
    <row r="169" spans="1:11" x14ac:dyDescent="0.25">
      <c r="A169" s="2" t="s">
        <v>356</v>
      </c>
      <c r="B169" s="5" t="s">
        <v>357</v>
      </c>
      <c r="C169" s="2" t="s">
        <v>19</v>
      </c>
      <c r="D169" s="1" t="s">
        <v>11</v>
      </c>
      <c r="E169" s="7">
        <v>1</v>
      </c>
      <c r="F169" s="12">
        <v>130</v>
      </c>
      <c r="G169" s="7">
        <v>5</v>
      </c>
      <c r="H169" s="10">
        <v>125</v>
      </c>
      <c r="I169" s="3">
        <v>45110</v>
      </c>
      <c r="J169" s="3" t="s">
        <v>2259</v>
      </c>
      <c r="K169" s="8">
        <v>2</v>
      </c>
    </row>
    <row r="170" spans="1:11" x14ac:dyDescent="0.25">
      <c r="A170" s="2" t="s">
        <v>358</v>
      </c>
      <c r="B170" s="5" t="s">
        <v>359</v>
      </c>
      <c r="C170" s="2" t="s">
        <v>47</v>
      </c>
      <c r="D170" s="1" t="s">
        <v>11</v>
      </c>
      <c r="E170" s="7">
        <v>1</v>
      </c>
      <c r="F170" s="12">
        <v>190</v>
      </c>
      <c r="G170" s="7">
        <v>0</v>
      </c>
      <c r="H170" s="10">
        <v>190</v>
      </c>
      <c r="I170" s="3">
        <v>45110</v>
      </c>
      <c r="J170" s="3" t="s">
        <v>2258</v>
      </c>
      <c r="K170" s="8">
        <v>2</v>
      </c>
    </row>
    <row r="171" spans="1:11" x14ac:dyDescent="0.25">
      <c r="A171" s="2" t="s">
        <v>360</v>
      </c>
      <c r="B171" s="5" t="s">
        <v>361</v>
      </c>
      <c r="C171" s="2" t="s">
        <v>19</v>
      </c>
      <c r="D171" s="1" t="s">
        <v>11</v>
      </c>
      <c r="E171" s="7">
        <v>1</v>
      </c>
      <c r="F171" s="12">
        <v>130</v>
      </c>
      <c r="G171" s="7">
        <v>10</v>
      </c>
      <c r="H171" s="10">
        <v>120</v>
      </c>
      <c r="I171" s="3">
        <v>45172</v>
      </c>
      <c r="J171" s="3" t="s">
        <v>2260</v>
      </c>
      <c r="K171" s="8">
        <v>2</v>
      </c>
    </row>
    <row r="172" spans="1:11" x14ac:dyDescent="0.25">
      <c r="A172" s="2" t="s">
        <v>362</v>
      </c>
      <c r="B172" s="5" t="s">
        <v>363</v>
      </c>
      <c r="C172" s="2" t="s">
        <v>317</v>
      </c>
      <c r="D172" s="1" t="s">
        <v>137</v>
      </c>
      <c r="E172" s="7">
        <v>2</v>
      </c>
      <c r="F172" s="12">
        <v>215</v>
      </c>
      <c r="G172" s="7">
        <v>0</v>
      </c>
      <c r="H172" s="10">
        <v>430</v>
      </c>
      <c r="I172" s="3">
        <v>45172</v>
      </c>
      <c r="J172" s="3" t="s">
        <v>2261</v>
      </c>
      <c r="K172" s="8">
        <v>4</v>
      </c>
    </row>
    <row r="173" spans="1:11" x14ac:dyDescent="0.25">
      <c r="A173" s="2" t="s">
        <v>364</v>
      </c>
      <c r="B173" s="5" t="s">
        <v>365</v>
      </c>
      <c r="C173" s="2" t="s">
        <v>19</v>
      </c>
      <c r="D173" s="1" t="s">
        <v>11</v>
      </c>
      <c r="E173" s="7">
        <v>3</v>
      </c>
      <c r="F173" s="12">
        <v>130</v>
      </c>
      <c r="G173" s="7">
        <v>0</v>
      </c>
      <c r="H173" s="10">
        <v>390</v>
      </c>
      <c r="I173" s="3">
        <v>45172</v>
      </c>
      <c r="J173" s="3" t="s">
        <v>2262</v>
      </c>
      <c r="K173" s="8">
        <v>2</v>
      </c>
    </row>
    <row r="174" spans="1:11" x14ac:dyDescent="0.25">
      <c r="A174" s="2" t="s">
        <v>366</v>
      </c>
      <c r="B174" s="5" t="s">
        <v>367</v>
      </c>
      <c r="C174" s="2" t="s">
        <v>19</v>
      </c>
      <c r="D174" s="1" t="s">
        <v>11</v>
      </c>
      <c r="E174" s="7">
        <v>1</v>
      </c>
      <c r="F174" s="12">
        <v>130</v>
      </c>
      <c r="G174" s="7">
        <v>10</v>
      </c>
      <c r="H174" s="10">
        <v>120</v>
      </c>
      <c r="I174" s="3">
        <v>45172</v>
      </c>
      <c r="J174" s="3" t="s">
        <v>2260</v>
      </c>
      <c r="K174" s="8">
        <v>4</v>
      </c>
    </row>
    <row r="175" spans="1:11" x14ac:dyDescent="0.25">
      <c r="A175" s="2" t="s">
        <v>368</v>
      </c>
      <c r="B175" s="5" t="s">
        <v>369</v>
      </c>
      <c r="C175" s="2" t="s">
        <v>317</v>
      </c>
      <c r="D175" s="1" t="s">
        <v>137</v>
      </c>
      <c r="E175" s="7">
        <v>2</v>
      </c>
      <c r="F175" s="12">
        <v>215</v>
      </c>
      <c r="G175" s="7">
        <v>0</v>
      </c>
      <c r="H175" s="10">
        <v>430</v>
      </c>
      <c r="I175" s="3">
        <v>45172</v>
      </c>
      <c r="J175" s="3" t="s">
        <v>2261</v>
      </c>
      <c r="K175" s="8">
        <v>4</v>
      </c>
    </row>
    <row r="176" spans="1:11" x14ac:dyDescent="0.25">
      <c r="A176" s="2" t="s">
        <v>370</v>
      </c>
      <c r="B176" s="5" t="s">
        <v>371</v>
      </c>
      <c r="C176" s="2" t="s">
        <v>19</v>
      </c>
      <c r="D176" s="1" t="s">
        <v>11</v>
      </c>
      <c r="E176" s="7">
        <v>3</v>
      </c>
      <c r="F176" s="12">
        <v>130</v>
      </c>
      <c r="G176" s="7">
        <v>0</v>
      </c>
      <c r="H176" s="10">
        <v>390</v>
      </c>
      <c r="I176" s="3">
        <v>45172</v>
      </c>
      <c r="J176" s="3" t="s">
        <v>2262</v>
      </c>
      <c r="K176" s="8">
        <v>1</v>
      </c>
    </row>
    <row r="177" spans="1:11" x14ac:dyDescent="0.25">
      <c r="A177" s="2" t="s">
        <v>372</v>
      </c>
      <c r="B177" s="5" t="s">
        <v>373</v>
      </c>
      <c r="C177" s="2" t="s">
        <v>19</v>
      </c>
      <c r="D177" s="1" t="s">
        <v>11</v>
      </c>
      <c r="E177" s="7">
        <v>1</v>
      </c>
      <c r="F177" s="12">
        <v>130</v>
      </c>
      <c r="G177" s="7">
        <v>0</v>
      </c>
      <c r="H177" s="10">
        <v>130</v>
      </c>
      <c r="I177" s="3">
        <v>45202</v>
      </c>
      <c r="J177" s="3" t="s">
        <v>2263</v>
      </c>
      <c r="K177" s="8">
        <v>3</v>
      </c>
    </row>
    <row r="178" spans="1:11" x14ac:dyDescent="0.25">
      <c r="A178" s="2" t="s">
        <v>374</v>
      </c>
      <c r="B178" s="5" t="s">
        <v>375</v>
      </c>
      <c r="C178" s="2" t="s">
        <v>19</v>
      </c>
      <c r="D178" s="1" t="s">
        <v>11</v>
      </c>
      <c r="E178" s="7">
        <v>1</v>
      </c>
      <c r="F178" s="12">
        <v>130</v>
      </c>
      <c r="G178" s="7">
        <v>0</v>
      </c>
      <c r="H178" s="10">
        <v>130</v>
      </c>
      <c r="I178" s="3">
        <v>45202</v>
      </c>
      <c r="J178" s="3" t="s">
        <v>2263</v>
      </c>
      <c r="K178" s="8">
        <v>2</v>
      </c>
    </row>
    <row r="179" spans="1:11" x14ac:dyDescent="0.25">
      <c r="A179" s="2" t="s">
        <v>376</v>
      </c>
      <c r="B179" s="5" t="s">
        <v>377</v>
      </c>
      <c r="C179" s="2" t="s">
        <v>93</v>
      </c>
      <c r="D179" s="1" t="s">
        <v>11</v>
      </c>
      <c r="E179" s="7">
        <v>1</v>
      </c>
      <c r="F179" s="12">
        <v>85</v>
      </c>
      <c r="G179" s="7">
        <v>0</v>
      </c>
      <c r="H179" s="10">
        <v>85</v>
      </c>
      <c r="I179" s="3">
        <v>45233</v>
      </c>
      <c r="J179" s="3" t="s">
        <v>2262</v>
      </c>
      <c r="K179" s="8">
        <v>3</v>
      </c>
    </row>
    <row r="180" spans="1:11" x14ac:dyDescent="0.25">
      <c r="A180" s="2" t="s">
        <v>378</v>
      </c>
      <c r="B180" s="5" t="s">
        <v>379</v>
      </c>
      <c r="C180" s="2" t="s">
        <v>32</v>
      </c>
      <c r="D180" s="1" t="s">
        <v>11</v>
      </c>
      <c r="E180" s="7">
        <v>1</v>
      </c>
      <c r="F180" s="12">
        <v>135</v>
      </c>
      <c r="G180" s="7">
        <v>0</v>
      </c>
      <c r="H180" s="10">
        <v>135</v>
      </c>
      <c r="I180" s="3">
        <v>45233</v>
      </c>
      <c r="J180" s="3" t="s">
        <v>2261</v>
      </c>
      <c r="K180" s="8">
        <v>2</v>
      </c>
    </row>
    <row r="181" spans="1:11" x14ac:dyDescent="0.25">
      <c r="A181" s="2" t="s">
        <v>380</v>
      </c>
      <c r="B181" s="5" t="s">
        <v>381</v>
      </c>
      <c r="C181" s="2" t="s">
        <v>93</v>
      </c>
      <c r="D181" s="1" t="s">
        <v>11</v>
      </c>
      <c r="E181" s="7">
        <v>1</v>
      </c>
      <c r="F181" s="12">
        <v>85</v>
      </c>
      <c r="G181" s="7">
        <v>0</v>
      </c>
      <c r="H181" s="10">
        <v>85</v>
      </c>
      <c r="I181" s="3">
        <v>45233</v>
      </c>
      <c r="J181" s="3" t="s">
        <v>2262</v>
      </c>
      <c r="K181" s="8">
        <v>2</v>
      </c>
    </row>
    <row r="182" spans="1:11" x14ac:dyDescent="0.25">
      <c r="A182" s="2" t="s">
        <v>382</v>
      </c>
      <c r="B182" s="5" t="s">
        <v>383</v>
      </c>
      <c r="C182" s="2" t="s">
        <v>32</v>
      </c>
      <c r="D182" s="1" t="s">
        <v>11</v>
      </c>
      <c r="E182" s="7">
        <v>1</v>
      </c>
      <c r="F182" s="12">
        <v>135</v>
      </c>
      <c r="G182" s="7">
        <v>0</v>
      </c>
      <c r="H182" s="10">
        <v>135</v>
      </c>
      <c r="I182" s="3">
        <v>45233</v>
      </c>
      <c r="J182" s="3" t="s">
        <v>2261</v>
      </c>
      <c r="K182" s="8">
        <v>3</v>
      </c>
    </row>
    <row r="183" spans="1:11" x14ac:dyDescent="0.25">
      <c r="A183" s="2" t="s">
        <v>384</v>
      </c>
      <c r="B183" s="5" t="s">
        <v>385</v>
      </c>
      <c r="C183" s="2" t="s">
        <v>19</v>
      </c>
      <c r="D183" s="1" t="s">
        <v>11</v>
      </c>
      <c r="E183" s="7">
        <v>1</v>
      </c>
      <c r="F183" s="12">
        <v>130</v>
      </c>
      <c r="G183" s="7">
        <v>0</v>
      </c>
      <c r="H183" s="10">
        <v>130</v>
      </c>
      <c r="I183" s="3">
        <v>45263</v>
      </c>
      <c r="J183" s="3" t="s">
        <v>2264</v>
      </c>
      <c r="K183" s="8">
        <v>4</v>
      </c>
    </row>
    <row r="184" spans="1:11" x14ac:dyDescent="0.25">
      <c r="A184" s="2" t="s">
        <v>386</v>
      </c>
      <c r="B184" s="5" t="s">
        <v>387</v>
      </c>
      <c r="C184" s="2" t="s">
        <v>19</v>
      </c>
      <c r="D184" s="1" t="s">
        <v>11</v>
      </c>
      <c r="E184" s="7">
        <v>1</v>
      </c>
      <c r="F184" s="12">
        <v>130</v>
      </c>
      <c r="G184" s="7">
        <v>0</v>
      </c>
      <c r="H184" s="10">
        <v>130</v>
      </c>
      <c r="I184" s="3">
        <v>45263</v>
      </c>
      <c r="J184" s="3" t="s">
        <v>2264</v>
      </c>
      <c r="K184" s="8">
        <v>4</v>
      </c>
    </row>
    <row r="185" spans="1:11" x14ac:dyDescent="0.25">
      <c r="A185" s="2" t="s">
        <v>388</v>
      </c>
      <c r="B185" s="5" t="s">
        <v>389</v>
      </c>
      <c r="C185" s="2" t="s">
        <v>19</v>
      </c>
      <c r="D185" s="1" t="s">
        <v>11</v>
      </c>
      <c r="E185" s="7">
        <v>1</v>
      </c>
      <c r="F185" s="12">
        <v>130</v>
      </c>
      <c r="G185" s="7">
        <v>0</v>
      </c>
      <c r="H185" s="10">
        <v>130</v>
      </c>
      <c r="I185" s="3">
        <v>45263</v>
      </c>
      <c r="J185" s="3" t="s">
        <v>2264</v>
      </c>
      <c r="K185" s="8">
        <v>4</v>
      </c>
    </row>
    <row r="186" spans="1:11" x14ac:dyDescent="0.25">
      <c r="A186" s="2" t="s">
        <v>390</v>
      </c>
      <c r="B186" s="5" t="s">
        <v>391</v>
      </c>
      <c r="C186" s="2" t="s">
        <v>32</v>
      </c>
      <c r="D186" s="1" t="s">
        <v>11</v>
      </c>
      <c r="E186" s="7">
        <v>1</v>
      </c>
      <c r="F186" s="12">
        <v>135</v>
      </c>
      <c r="G186" s="7">
        <v>0</v>
      </c>
      <c r="H186" s="10">
        <v>135</v>
      </c>
      <c r="I186" s="3">
        <v>44999</v>
      </c>
      <c r="J186" s="3" t="s">
        <v>2264</v>
      </c>
      <c r="K186" s="8">
        <v>4</v>
      </c>
    </row>
    <row r="187" spans="1:11" x14ac:dyDescent="0.25">
      <c r="A187" s="2" t="s">
        <v>392</v>
      </c>
      <c r="B187" s="5" t="s">
        <v>393</v>
      </c>
      <c r="C187" s="2" t="s">
        <v>232</v>
      </c>
      <c r="D187" s="1" t="s">
        <v>137</v>
      </c>
      <c r="E187" s="7">
        <v>1</v>
      </c>
      <c r="F187" s="12">
        <v>200</v>
      </c>
      <c r="G187" s="7">
        <v>0</v>
      </c>
      <c r="H187" s="10">
        <v>200</v>
      </c>
      <c r="I187" s="3">
        <v>44999</v>
      </c>
      <c r="J187" s="3" t="s">
        <v>2266</v>
      </c>
      <c r="K187" s="8">
        <v>2</v>
      </c>
    </row>
    <row r="188" spans="1:11" x14ac:dyDescent="0.25">
      <c r="A188" s="2" t="s">
        <v>394</v>
      </c>
      <c r="B188" s="5" t="s">
        <v>395</v>
      </c>
      <c r="C188" s="2" t="s">
        <v>32</v>
      </c>
      <c r="D188" s="1" t="s">
        <v>11</v>
      </c>
      <c r="E188" s="7">
        <v>1</v>
      </c>
      <c r="F188" s="12">
        <v>135</v>
      </c>
      <c r="G188" s="7">
        <v>0</v>
      </c>
      <c r="H188" s="10">
        <v>135</v>
      </c>
      <c r="I188" s="3">
        <v>44999</v>
      </c>
      <c r="J188" s="3" t="s">
        <v>2264</v>
      </c>
      <c r="K188" s="8">
        <v>3</v>
      </c>
    </row>
    <row r="189" spans="1:11" x14ac:dyDescent="0.25">
      <c r="A189" s="2" t="s">
        <v>396</v>
      </c>
      <c r="B189" s="5" t="s">
        <v>397</v>
      </c>
      <c r="C189" s="2" t="s">
        <v>232</v>
      </c>
      <c r="D189" s="1" t="s">
        <v>137</v>
      </c>
      <c r="E189" s="7">
        <v>1</v>
      </c>
      <c r="F189" s="12">
        <v>200</v>
      </c>
      <c r="G189" s="7">
        <v>0</v>
      </c>
      <c r="H189" s="10">
        <v>200</v>
      </c>
      <c r="I189" s="3">
        <v>44999</v>
      </c>
      <c r="J189" s="3" t="s">
        <v>2266</v>
      </c>
      <c r="K189" s="8">
        <v>2</v>
      </c>
    </row>
    <row r="190" spans="1:11" x14ac:dyDescent="0.25">
      <c r="A190" s="2" t="s">
        <v>398</v>
      </c>
      <c r="B190" s="5" t="s">
        <v>399</v>
      </c>
      <c r="C190" s="2" t="s">
        <v>47</v>
      </c>
      <c r="D190" s="1" t="s">
        <v>11</v>
      </c>
      <c r="E190" s="7">
        <v>2</v>
      </c>
      <c r="F190" s="12">
        <v>190</v>
      </c>
      <c r="G190" s="7">
        <v>0</v>
      </c>
      <c r="H190" s="10">
        <v>380</v>
      </c>
      <c r="I190" s="3">
        <v>45000</v>
      </c>
      <c r="J190" s="3" t="s">
        <v>2268</v>
      </c>
      <c r="K190" s="8">
        <v>3</v>
      </c>
    </row>
    <row r="191" spans="1:11" x14ac:dyDescent="0.25">
      <c r="A191" s="2" t="s">
        <v>400</v>
      </c>
      <c r="B191" s="5" t="s">
        <v>401</v>
      </c>
      <c r="C191" s="2" t="s">
        <v>47</v>
      </c>
      <c r="D191" s="1" t="s">
        <v>11</v>
      </c>
      <c r="E191" s="7">
        <v>2</v>
      </c>
      <c r="F191" s="12">
        <v>190</v>
      </c>
      <c r="G191" s="7">
        <v>0</v>
      </c>
      <c r="H191" s="10">
        <v>380</v>
      </c>
      <c r="I191" s="3">
        <v>45000</v>
      </c>
      <c r="J191" s="3" t="s">
        <v>2268</v>
      </c>
      <c r="K191" s="8">
        <v>1</v>
      </c>
    </row>
    <row r="192" spans="1:11" x14ac:dyDescent="0.25">
      <c r="A192" s="2" t="s">
        <v>402</v>
      </c>
      <c r="B192" s="5" t="s">
        <v>403</v>
      </c>
      <c r="C192" s="2" t="s">
        <v>19</v>
      </c>
      <c r="D192" s="1" t="s">
        <v>11</v>
      </c>
      <c r="E192" s="7">
        <v>2</v>
      </c>
      <c r="F192" s="12">
        <v>130</v>
      </c>
      <c r="G192" s="7">
        <v>0</v>
      </c>
      <c r="H192" s="10">
        <v>260</v>
      </c>
      <c r="I192" s="3">
        <v>45001</v>
      </c>
      <c r="J192" s="3" t="s">
        <v>2270</v>
      </c>
      <c r="K192" s="8">
        <v>1</v>
      </c>
    </row>
    <row r="193" spans="1:11" x14ac:dyDescent="0.25">
      <c r="A193" s="2" t="s">
        <v>404</v>
      </c>
      <c r="B193" s="5" t="s">
        <v>405</v>
      </c>
      <c r="C193" s="2" t="s">
        <v>19</v>
      </c>
      <c r="D193" s="1" t="s">
        <v>11</v>
      </c>
      <c r="E193" s="7">
        <v>2</v>
      </c>
      <c r="F193" s="12">
        <v>130</v>
      </c>
      <c r="G193" s="7">
        <v>0</v>
      </c>
      <c r="H193" s="10">
        <v>260</v>
      </c>
      <c r="I193" s="3">
        <v>45001</v>
      </c>
      <c r="J193" s="3" t="s">
        <v>2270</v>
      </c>
      <c r="K193" s="8">
        <v>2</v>
      </c>
    </row>
    <row r="194" spans="1:11" x14ac:dyDescent="0.25">
      <c r="A194" s="2" t="s">
        <v>406</v>
      </c>
      <c r="B194" s="5" t="s">
        <v>407</v>
      </c>
      <c r="C194" s="2" t="s">
        <v>32</v>
      </c>
      <c r="D194" s="1" t="s">
        <v>11</v>
      </c>
      <c r="E194" s="7">
        <v>1</v>
      </c>
      <c r="F194" s="12">
        <v>135</v>
      </c>
      <c r="G194" s="7">
        <v>5</v>
      </c>
      <c r="H194" s="10">
        <v>130</v>
      </c>
      <c r="I194" s="3">
        <v>45002</v>
      </c>
      <c r="J194" s="3" t="s">
        <v>2270</v>
      </c>
      <c r="K194" s="8">
        <v>2</v>
      </c>
    </row>
    <row r="195" spans="1:11" x14ac:dyDescent="0.25">
      <c r="A195" s="2" t="s">
        <v>408</v>
      </c>
      <c r="B195" s="5" t="s">
        <v>409</v>
      </c>
      <c r="C195" s="2" t="s">
        <v>19</v>
      </c>
      <c r="D195" s="1" t="s">
        <v>11</v>
      </c>
      <c r="E195" s="7">
        <v>1</v>
      </c>
      <c r="F195" s="12">
        <v>130</v>
      </c>
      <c r="G195" s="7">
        <v>0</v>
      </c>
      <c r="H195" s="10">
        <v>130</v>
      </c>
      <c r="I195" s="3">
        <v>45002</v>
      </c>
      <c r="J195" s="3" t="s">
        <v>2272</v>
      </c>
      <c r="K195" s="8">
        <v>1</v>
      </c>
    </row>
    <row r="196" spans="1:11" x14ac:dyDescent="0.25">
      <c r="A196" s="2" t="s">
        <v>410</v>
      </c>
      <c r="B196" s="5" t="s">
        <v>411</v>
      </c>
      <c r="C196" s="2" t="s">
        <v>70</v>
      </c>
      <c r="D196" s="1" t="s">
        <v>11</v>
      </c>
      <c r="E196" s="7">
        <v>3</v>
      </c>
      <c r="F196" s="12">
        <v>125</v>
      </c>
      <c r="G196" s="7">
        <v>0</v>
      </c>
      <c r="H196" s="10">
        <v>375</v>
      </c>
      <c r="I196" s="3">
        <v>45002</v>
      </c>
      <c r="J196" s="3" t="s">
        <v>2273</v>
      </c>
      <c r="K196" s="8">
        <v>4</v>
      </c>
    </row>
    <row r="197" spans="1:11" x14ac:dyDescent="0.25">
      <c r="A197" s="2" t="s">
        <v>412</v>
      </c>
      <c r="B197" s="5" t="s">
        <v>413</v>
      </c>
      <c r="C197" s="2" t="s">
        <v>32</v>
      </c>
      <c r="D197" s="1" t="s">
        <v>11</v>
      </c>
      <c r="E197" s="7">
        <v>1</v>
      </c>
      <c r="F197" s="12">
        <v>135</v>
      </c>
      <c r="G197" s="7">
        <v>5</v>
      </c>
      <c r="H197" s="10">
        <v>130</v>
      </c>
      <c r="I197" s="3">
        <v>45002</v>
      </c>
      <c r="J197" s="3" t="s">
        <v>2270</v>
      </c>
      <c r="K197" s="8">
        <v>4</v>
      </c>
    </row>
    <row r="198" spans="1:11" x14ac:dyDescent="0.25">
      <c r="A198" s="2" t="s">
        <v>414</v>
      </c>
      <c r="B198" s="5" t="s">
        <v>415</v>
      </c>
      <c r="C198" s="2" t="s">
        <v>19</v>
      </c>
      <c r="D198" s="1" t="s">
        <v>11</v>
      </c>
      <c r="E198" s="7">
        <v>1</v>
      </c>
      <c r="F198" s="12">
        <v>130</v>
      </c>
      <c r="G198" s="7">
        <v>0</v>
      </c>
      <c r="H198" s="10">
        <v>130</v>
      </c>
      <c r="I198" s="3">
        <v>45002</v>
      </c>
      <c r="J198" s="3" t="s">
        <v>2272</v>
      </c>
      <c r="K198" s="8">
        <v>4</v>
      </c>
    </row>
    <row r="199" spans="1:11" x14ac:dyDescent="0.25">
      <c r="A199" s="2" t="s">
        <v>416</v>
      </c>
      <c r="B199" s="5" t="s">
        <v>417</v>
      </c>
      <c r="C199" s="2" t="s">
        <v>70</v>
      </c>
      <c r="D199" s="1" t="s">
        <v>11</v>
      </c>
      <c r="E199" s="7">
        <v>3</v>
      </c>
      <c r="F199" s="12">
        <v>125</v>
      </c>
      <c r="G199" s="7">
        <v>0</v>
      </c>
      <c r="H199" s="10">
        <v>375</v>
      </c>
      <c r="I199" s="3">
        <v>45002</v>
      </c>
      <c r="J199" s="3" t="s">
        <v>2273</v>
      </c>
      <c r="K199" s="8">
        <v>3</v>
      </c>
    </row>
    <row r="200" spans="1:11" x14ac:dyDescent="0.25">
      <c r="A200" s="2" t="s">
        <v>418</v>
      </c>
      <c r="B200" s="5" t="s">
        <v>419</v>
      </c>
      <c r="C200" s="2" t="s">
        <v>70</v>
      </c>
      <c r="D200" s="1" t="s">
        <v>11</v>
      </c>
      <c r="E200" s="7">
        <v>3</v>
      </c>
      <c r="F200" s="12">
        <v>125</v>
      </c>
      <c r="G200" s="7">
        <v>0</v>
      </c>
      <c r="H200" s="10">
        <v>375</v>
      </c>
      <c r="I200" s="3">
        <v>45002</v>
      </c>
      <c r="J200" s="3" t="s">
        <v>2273</v>
      </c>
      <c r="K200" s="8">
        <v>4</v>
      </c>
    </row>
    <row r="201" spans="1:11" x14ac:dyDescent="0.25">
      <c r="A201" s="2" t="s">
        <v>420</v>
      </c>
      <c r="B201" s="5" t="s">
        <v>421</v>
      </c>
      <c r="C201" s="2" t="s">
        <v>19</v>
      </c>
      <c r="D201" s="1" t="s">
        <v>11</v>
      </c>
      <c r="E201" s="7">
        <v>1</v>
      </c>
      <c r="F201" s="12">
        <v>130</v>
      </c>
      <c r="G201" s="7">
        <v>10</v>
      </c>
      <c r="H201" s="10">
        <v>120</v>
      </c>
      <c r="I201" s="3">
        <v>45003</v>
      </c>
      <c r="J201" s="3" t="s">
        <v>2275</v>
      </c>
      <c r="K201" s="8">
        <v>1</v>
      </c>
    </row>
    <row r="202" spans="1:11" x14ac:dyDescent="0.25">
      <c r="A202" s="2" t="s">
        <v>422</v>
      </c>
      <c r="B202" s="5" t="s">
        <v>423</v>
      </c>
      <c r="C202" s="2" t="s">
        <v>19</v>
      </c>
      <c r="D202" s="1" t="s">
        <v>11</v>
      </c>
      <c r="E202" s="7">
        <v>1</v>
      </c>
      <c r="F202" s="12">
        <v>130</v>
      </c>
      <c r="G202" s="7">
        <v>10</v>
      </c>
      <c r="H202" s="10">
        <v>120</v>
      </c>
      <c r="I202" s="3">
        <v>45003</v>
      </c>
      <c r="J202" s="3" t="s">
        <v>2275</v>
      </c>
      <c r="K202" s="8">
        <v>1</v>
      </c>
    </row>
    <row r="203" spans="1:11" x14ac:dyDescent="0.25">
      <c r="A203" s="2" t="s">
        <v>424</v>
      </c>
      <c r="B203" s="5" t="s">
        <v>425</v>
      </c>
      <c r="C203" s="2" t="s">
        <v>32</v>
      </c>
      <c r="D203" s="1" t="s">
        <v>11</v>
      </c>
      <c r="E203" s="7">
        <v>1</v>
      </c>
      <c r="F203" s="12">
        <v>135</v>
      </c>
      <c r="G203" s="7">
        <v>0</v>
      </c>
      <c r="H203" s="10">
        <v>135</v>
      </c>
      <c r="I203" s="3">
        <v>45005</v>
      </c>
      <c r="J203" s="3" t="s">
        <v>2277</v>
      </c>
      <c r="K203" s="8">
        <v>1</v>
      </c>
    </row>
    <row r="204" spans="1:11" x14ac:dyDescent="0.25">
      <c r="A204" s="2" t="s">
        <v>426</v>
      </c>
      <c r="B204" s="5" t="s">
        <v>427</v>
      </c>
      <c r="C204" s="2" t="s">
        <v>32</v>
      </c>
      <c r="D204" s="1" t="s">
        <v>11</v>
      </c>
      <c r="E204" s="7">
        <v>1</v>
      </c>
      <c r="F204" s="12">
        <v>135</v>
      </c>
      <c r="G204" s="7">
        <v>0</v>
      </c>
      <c r="H204" s="10">
        <v>135</v>
      </c>
      <c r="I204" s="3">
        <v>45005</v>
      </c>
      <c r="J204" s="3" t="s">
        <v>2277</v>
      </c>
      <c r="K204" s="8">
        <v>3</v>
      </c>
    </row>
    <row r="205" spans="1:11" x14ac:dyDescent="0.25">
      <c r="A205" s="2" t="s">
        <v>428</v>
      </c>
      <c r="B205" s="5" t="s">
        <v>429</v>
      </c>
      <c r="C205" s="2" t="s">
        <v>47</v>
      </c>
      <c r="D205" s="1" t="s">
        <v>11</v>
      </c>
      <c r="E205" s="7">
        <v>2</v>
      </c>
      <c r="F205" s="12">
        <v>190</v>
      </c>
      <c r="G205" s="7">
        <v>5</v>
      </c>
      <c r="H205" s="10">
        <v>375</v>
      </c>
      <c r="I205" s="3">
        <v>45006</v>
      </c>
      <c r="J205" s="3" t="s">
        <v>2275</v>
      </c>
      <c r="K205" s="8">
        <v>3</v>
      </c>
    </row>
    <row r="206" spans="1:11" x14ac:dyDescent="0.25">
      <c r="A206" s="2" t="s">
        <v>430</v>
      </c>
      <c r="B206" s="5" t="s">
        <v>431</v>
      </c>
      <c r="C206" s="2" t="s">
        <v>47</v>
      </c>
      <c r="D206" s="1" t="s">
        <v>11</v>
      </c>
      <c r="E206" s="7">
        <v>2</v>
      </c>
      <c r="F206" s="12">
        <v>190</v>
      </c>
      <c r="G206" s="7">
        <v>5</v>
      </c>
      <c r="H206" s="10">
        <v>375</v>
      </c>
      <c r="I206" s="3">
        <v>45006</v>
      </c>
      <c r="J206" s="3" t="s">
        <v>2275</v>
      </c>
      <c r="K206" s="8">
        <v>1</v>
      </c>
    </row>
    <row r="207" spans="1:11" x14ac:dyDescent="0.25">
      <c r="A207" s="2" t="s">
        <v>432</v>
      </c>
      <c r="B207" s="5" t="s">
        <v>433</v>
      </c>
      <c r="C207" s="2" t="s">
        <v>93</v>
      </c>
      <c r="D207" s="1" t="s">
        <v>11</v>
      </c>
      <c r="E207" s="7">
        <v>1</v>
      </c>
      <c r="F207" s="12">
        <v>85</v>
      </c>
      <c r="G207" s="7">
        <v>0</v>
      </c>
      <c r="H207" s="10">
        <v>85</v>
      </c>
      <c r="I207" s="3">
        <v>45007</v>
      </c>
      <c r="J207" s="3" t="s">
        <v>2280</v>
      </c>
      <c r="K207" s="8">
        <v>1</v>
      </c>
    </row>
    <row r="208" spans="1:11" x14ac:dyDescent="0.25">
      <c r="A208" s="2" t="s">
        <v>434</v>
      </c>
      <c r="B208" s="5" t="s">
        <v>435</v>
      </c>
      <c r="C208" s="2" t="s">
        <v>93</v>
      </c>
      <c r="D208" s="1" t="s">
        <v>11</v>
      </c>
      <c r="E208" s="7">
        <v>1</v>
      </c>
      <c r="F208" s="12">
        <v>85</v>
      </c>
      <c r="G208" s="7">
        <v>0</v>
      </c>
      <c r="H208" s="10">
        <v>85</v>
      </c>
      <c r="I208" s="3">
        <v>45007</v>
      </c>
      <c r="J208" s="3" t="s">
        <v>2280</v>
      </c>
      <c r="K208" s="8">
        <v>4</v>
      </c>
    </row>
    <row r="209" spans="1:11" x14ac:dyDescent="0.25">
      <c r="A209" s="2" t="s">
        <v>436</v>
      </c>
      <c r="B209" s="5" t="s">
        <v>437</v>
      </c>
      <c r="C209" s="2" t="s">
        <v>70</v>
      </c>
      <c r="D209" s="1" t="s">
        <v>11</v>
      </c>
      <c r="E209" s="7">
        <v>2</v>
      </c>
      <c r="F209" s="12">
        <v>125</v>
      </c>
      <c r="G209" s="7">
        <v>0</v>
      </c>
      <c r="H209" s="10">
        <v>250</v>
      </c>
      <c r="I209" s="3">
        <v>45008</v>
      </c>
      <c r="J209" s="3" t="s">
        <v>2280</v>
      </c>
      <c r="K209" s="8">
        <v>2</v>
      </c>
    </row>
    <row r="210" spans="1:11" x14ac:dyDescent="0.25">
      <c r="A210" s="2" t="s">
        <v>438</v>
      </c>
      <c r="B210" s="5" t="s">
        <v>439</v>
      </c>
      <c r="C210" s="2" t="s">
        <v>70</v>
      </c>
      <c r="D210" s="1" t="s">
        <v>11</v>
      </c>
      <c r="E210" s="7">
        <v>2</v>
      </c>
      <c r="F210" s="12">
        <v>125</v>
      </c>
      <c r="G210" s="7">
        <v>0</v>
      </c>
      <c r="H210" s="10">
        <v>250</v>
      </c>
      <c r="I210" s="3">
        <v>45008</v>
      </c>
      <c r="J210" s="3" t="s">
        <v>2280</v>
      </c>
      <c r="K210" s="8">
        <v>4</v>
      </c>
    </row>
    <row r="211" spans="1:11" x14ac:dyDescent="0.25">
      <c r="A211" s="2" t="s">
        <v>440</v>
      </c>
      <c r="B211" s="5" t="s">
        <v>441</v>
      </c>
      <c r="C211" s="2" t="s">
        <v>19</v>
      </c>
      <c r="D211" s="1" t="s">
        <v>11</v>
      </c>
      <c r="E211" s="7">
        <v>2</v>
      </c>
      <c r="F211" s="12">
        <v>130</v>
      </c>
      <c r="G211" s="7">
        <v>0</v>
      </c>
      <c r="H211" s="10">
        <v>260</v>
      </c>
      <c r="I211" s="3">
        <v>45009</v>
      </c>
      <c r="J211" s="3" t="s">
        <v>2283</v>
      </c>
      <c r="K211" s="8">
        <v>1</v>
      </c>
    </row>
    <row r="212" spans="1:11" x14ac:dyDescent="0.25">
      <c r="A212" s="2" t="s">
        <v>442</v>
      </c>
      <c r="B212" s="5" t="s">
        <v>443</v>
      </c>
      <c r="C212" s="2" t="s">
        <v>19</v>
      </c>
      <c r="D212" s="1" t="s">
        <v>11</v>
      </c>
      <c r="E212" s="7">
        <v>2</v>
      </c>
      <c r="F212" s="12">
        <v>130</v>
      </c>
      <c r="G212" s="7">
        <v>0</v>
      </c>
      <c r="H212" s="10">
        <v>260</v>
      </c>
      <c r="I212" s="3">
        <v>45009</v>
      </c>
      <c r="J212" s="3" t="s">
        <v>2283</v>
      </c>
      <c r="K212" s="8">
        <v>2</v>
      </c>
    </row>
    <row r="213" spans="1:11" x14ac:dyDescent="0.25">
      <c r="A213" s="2" t="s">
        <v>444</v>
      </c>
      <c r="B213" s="5" t="s">
        <v>445</v>
      </c>
      <c r="C213" s="2" t="s">
        <v>70</v>
      </c>
      <c r="D213" s="1" t="s">
        <v>11</v>
      </c>
      <c r="E213" s="7">
        <v>1</v>
      </c>
      <c r="F213" s="12">
        <v>125</v>
      </c>
      <c r="G213" s="7">
        <v>5</v>
      </c>
      <c r="H213" s="10">
        <v>120</v>
      </c>
      <c r="I213" s="3">
        <v>45011</v>
      </c>
      <c r="J213" s="3" t="s">
        <v>2283</v>
      </c>
      <c r="K213" s="8">
        <v>3</v>
      </c>
    </row>
    <row r="214" spans="1:11" x14ac:dyDescent="0.25">
      <c r="A214" s="2" t="s">
        <v>446</v>
      </c>
      <c r="B214" s="5" t="s">
        <v>447</v>
      </c>
      <c r="C214" s="2" t="s">
        <v>32</v>
      </c>
      <c r="D214" s="1" t="s">
        <v>11</v>
      </c>
      <c r="E214" s="7">
        <v>1</v>
      </c>
      <c r="F214" s="12">
        <v>135</v>
      </c>
      <c r="G214" s="7">
        <v>0</v>
      </c>
      <c r="H214" s="10">
        <v>135</v>
      </c>
      <c r="I214" s="3">
        <v>45011</v>
      </c>
      <c r="J214" s="3" t="s">
        <v>2280</v>
      </c>
      <c r="K214" s="8">
        <v>3</v>
      </c>
    </row>
    <row r="215" spans="1:11" x14ac:dyDescent="0.25">
      <c r="A215" s="2" t="s">
        <v>448</v>
      </c>
      <c r="B215" s="5" t="s">
        <v>449</v>
      </c>
      <c r="C215" s="2" t="s">
        <v>70</v>
      </c>
      <c r="D215" s="1" t="s">
        <v>11</v>
      </c>
      <c r="E215" s="7">
        <v>1</v>
      </c>
      <c r="F215" s="12">
        <v>125</v>
      </c>
      <c r="G215" s="7">
        <v>5</v>
      </c>
      <c r="H215" s="10">
        <v>120</v>
      </c>
      <c r="I215" s="3">
        <v>45011</v>
      </c>
      <c r="J215" s="3" t="s">
        <v>2283</v>
      </c>
      <c r="K215" s="8">
        <v>2</v>
      </c>
    </row>
    <row r="216" spans="1:11" x14ac:dyDescent="0.25">
      <c r="A216" s="2" t="s">
        <v>450</v>
      </c>
      <c r="B216" s="5" t="s">
        <v>451</v>
      </c>
      <c r="C216" s="2" t="s">
        <v>32</v>
      </c>
      <c r="D216" s="1" t="s">
        <v>11</v>
      </c>
      <c r="E216" s="7">
        <v>1</v>
      </c>
      <c r="F216" s="12">
        <v>135</v>
      </c>
      <c r="G216" s="7">
        <v>0</v>
      </c>
      <c r="H216" s="10">
        <v>135</v>
      </c>
      <c r="I216" s="3">
        <v>45011</v>
      </c>
      <c r="J216" s="3" t="s">
        <v>2280</v>
      </c>
      <c r="K216" s="8">
        <v>4</v>
      </c>
    </row>
    <row r="217" spans="1:11" x14ac:dyDescent="0.25">
      <c r="A217" s="2" t="s">
        <v>452</v>
      </c>
      <c r="B217" s="5" t="s">
        <v>453</v>
      </c>
      <c r="C217" s="2" t="s">
        <v>19</v>
      </c>
      <c r="D217" s="1" t="s">
        <v>11</v>
      </c>
      <c r="E217" s="7">
        <v>1</v>
      </c>
      <c r="F217" s="12">
        <v>130</v>
      </c>
      <c r="G217" s="7">
        <v>0</v>
      </c>
      <c r="H217" s="10">
        <v>130</v>
      </c>
      <c r="I217" s="3">
        <v>45012</v>
      </c>
      <c r="J217" s="3" t="s">
        <v>2286</v>
      </c>
      <c r="K217" s="8">
        <v>1</v>
      </c>
    </row>
    <row r="218" spans="1:11" x14ac:dyDescent="0.25">
      <c r="A218" s="2" t="s">
        <v>454</v>
      </c>
      <c r="B218" s="5" t="s">
        <v>455</v>
      </c>
      <c r="C218" s="2" t="s">
        <v>32</v>
      </c>
      <c r="D218" s="1" t="s">
        <v>11</v>
      </c>
      <c r="E218" s="7">
        <v>1</v>
      </c>
      <c r="F218" s="12">
        <v>135</v>
      </c>
      <c r="G218" s="7">
        <v>0</v>
      </c>
      <c r="H218" s="10">
        <v>135</v>
      </c>
      <c r="I218" s="3">
        <v>45012</v>
      </c>
      <c r="J218" s="3" t="s">
        <v>2287</v>
      </c>
      <c r="K218" s="8">
        <v>3</v>
      </c>
    </row>
    <row r="219" spans="1:11" x14ac:dyDescent="0.25">
      <c r="A219" s="2" t="s">
        <v>456</v>
      </c>
      <c r="B219" s="5" t="s">
        <v>457</v>
      </c>
      <c r="C219" s="2" t="s">
        <v>19</v>
      </c>
      <c r="D219" s="1" t="s">
        <v>11</v>
      </c>
      <c r="E219" s="7">
        <v>1</v>
      </c>
      <c r="F219" s="12">
        <v>130</v>
      </c>
      <c r="G219" s="7">
        <v>5</v>
      </c>
      <c r="H219" s="10">
        <v>125</v>
      </c>
      <c r="I219" s="3">
        <v>45012</v>
      </c>
      <c r="J219" s="3" t="s">
        <v>2283</v>
      </c>
      <c r="K219" s="8">
        <v>4</v>
      </c>
    </row>
    <row r="220" spans="1:11" x14ac:dyDescent="0.25">
      <c r="A220" s="2" t="s">
        <v>458</v>
      </c>
      <c r="B220" s="5" t="s">
        <v>459</v>
      </c>
      <c r="C220" s="2" t="s">
        <v>93</v>
      </c>
      <c r="D220" s="1" t="s">
        <v>11</v>
      </c>
      <c r="E220" s="7">
        <v>1</v>
      </c>
      <c r="F220" s="12">
        <v>85</v>
      </c>
      <c r="G220" s="7">
        <v>0</v>
      </c>
      <c r="H220" s="10">
        <v>85</v>
      </c>
      <c r="I220" s="3">
        <v>45012</v>
      </c>
      <c r="J220" s="3" t="s">
        <v>2288</v>
      </c>
      <c r="K220" s="8">
        <v>2</v>
      </c>
    </row>
    <row r="221" spans="1:11" x14ac:dyDescent="0.25">
      <c r="A221" s="2" t="s">
        <v>460</v>
      </c>
      <c r="B221" s="5" t="s">
        <v>461</v>
      </c>
      <c r="C221" s="2" t="s">
        <v>19</v>
      </c>
      <c r="D221" s="1" t="s">
        <v>11</v>
      </c>
      <c r="E221" s="7">
        <v>1</v>
      </c>
      <c r="F221" s="12">
        <v>130</v>
      </c>
      <c r="G221" s="7">
        <v>0</v>
      </c>
      <c r="H221" s="10">
        <v>130</v>
      </c>
      <c r="I221" s="3">
        <v>45012</v>
      </c>
      <c r="J221" s="3" t="s">
        <v>2286</v>
      </c>
      <c r="K221" s="8">
        <v>3</v>
      </c>
    </row>
    <row r="222" spans="1:11" x14ac:dyDescent="0.25">
      <c r="A222" s="2" t="s">
        <v>462</v>
      </c>
      <c r="B222" s="5" t="s">
        <v>463</v>
      </c>
      <c r="C222" s="2" t="s">
        <v>32</v>
      </c>
      <c r="D222" s="1" t="s">
        <v>11</v>
      </c>
      <c r="E222" s="7">
        <v>1</v>
      </c>
      <c r="F222" s="12">
        <v>135</v>
      </c>
      <c r="G222" s="7">
        <v>0</v>
      </c>
      <c r="H222" s="10">
        <v>135</v>
      </c>
      <c r="I222" s="3">
        <v>45012</v>
      </c>
      <c r="J222" s="3" t="s">
        <v>2287</v>
      </c>
      <c r="K222" s="8">
        <v>3</v>
      </c>
    </row>
    <row r="223" spans="1:11" x14ac:dyDescent="0.25">
      <c r="A223" s="2" t="s">
        <v>464</v>
      </c>
      <c r="B223" s="5" t="s">
        <v>465</v>
      </c>
      <c r="C223" s="2" t="s">
        <v>19</v>
      </c>
      <c r="D223" s="1" t="s">
        <v>11</v>
      </c>
      <c r="E223" s="7">
        <v>1</v>
      </c>
      <c r="F223" s="12">
        <v>130</v>
      </c>
      <c r="G223" s="7">
        <v>5</v>
      </c>
      <c r="H223" s="10">
        <v>125</v>
      </c>
      <c r="I223" s="3">
        <v>45012</v>
      </c>
      <c r="J223" s="3" t="s">
        <v>2283</v>
      </c>
      <c r="K223" s="8">
        <v>4</v>
      </c>
    </row>
    <row r="224" spans="1:11" x14ac:dyDescent="0.25">
      <c r="A224" s="2" t="s">
        <v>466</v>
      </c>
      <c r="B224" s="5" t="s">
        <v>467</v>
      </c>
      <c r="C224" s="2" t="s">
        <v>93</v>
      </c>
      <c r="D224" s="1" t="s">
        <v>11</v>
      </c>
      <c r="E224" s="7">
        <v>1</v>
      </c>
      <c r="F224" s="12">
        <v>85</v>
      </c>
      <c r="G224" s="7">
        <v>0</v>
      </c>
      <c r="H224" s="10">
        <v>85</v>
      </c>
      <c r="I224" s="3">
        <v>45012</v>
      </c>
      <c r="J224" s="3" t="s">
        <v>2288</v>
      </c>
      <c r="K224" s="8">
        <v>2</v>
      </c>
    </row>
    <row r="225" spans="1:11" x14ac:dyDescent="0.25">
      <c r="A225" s="2" t="s">
        <v>468</v>
      </c>
      <c r="B225" s="5" t="s">
        <v>469</v>
      </c>
      <c r="C225" s="2" t="s">
        <v>19</v>
      </c>
      <c r="D225" s="1" t="s">
        <v>11</v>
      </c>
      <c r="E225" s="7">
        <v>1</v>
      </c>
      <c r="F225" s="12">
        <v>130</v>
      </c>
      <c r="G225" s="7">
        <v>5</v>
      </c>
      <c r="H225" s="10">
        <v>125</v>
      </c>
      <c r="I225" s="3">
        <v>45012</v>
      </c>
      <c r="J225" s="3" t="s">
        <v>2283</v>
      </c>
      <c r="K225" s="8">
        <v>4</v>
      </c>
    </row>
    <row r="226" spans="1:11" x14ac:dyDescent="0.25">
      <c r="A226" s="2" t="s">
        <v>470</v>
      </c>
      <c r="B226" s="5" t="s">
        <v>471</v>
      </c>
      <c r="C226" s="2" t="s">
        <v>93</v>
      </c>
      <c r="D226" s="1" t="s">
        <v>11</v>
      </c>
      <c r="E226" s="7">
        <v>1</v>
      </c>
      <c r="F226" s="12">
        <v>85</v>
      </c>
      <c r="G226" s="7">
        <v>0</v>
      </c>
      <c r="H226" s="10">
        <v>85</v>
      </c>
      <c r="I226" s="3">
        <v>45012</v>
      </c>
      <c r="J226" s="3" t="s">
        <v>2288</v>
      </c>
      <c r="K226" s="8">
        <v>1</v>
      </c>
    </row>
    <row r="227" spans="1:11" x14ac:dyDescent="0.25">
      <c r="A227" s="2" t="s">
        <v>472</v>
      </c>
      <c r="B227" s="5" t="s">
        <v>473</v>
      </c>
      <c r="C227" s="2" t="s">
        <v>93</v>
      </c>
      <c r="D227" s="1" t="s">
        <v>11</v>
      </c>
      <c r="E227" s="7">
        <v>1</v>
      </c>
      <c r="F227" s="12">
        <v>85</v>
      </c>
      <c r="G227" s="7">
        <v>0</v>
      </c>
      <c r="H227" s="10">
        <v>85</v>
      </c>
      <c r="I227" s="3">
        <v>45014</v>
      </c>
      <c r="J227" s="3" t="s">
        <v>2290</v>
      </c>
      <c r="K227" s="8">
        <v>4</v>
      </c>
    </row>
    <row r="228" spans="1:11" x14ac:dyDescent="0.25">
      <c r="A228" s="2" t="s">
        <v>474</v>
      </c>
      <c r="B228" s="5" t="s">
        <v>475</v>
      </c>
      <c r="C228" s="2" t="s">
        <v>93</v>
      </c>
      <c r="D228" s="1" t="s">
        <v>11</v>
      </c>
      <c r="E228" s="7">
        <v>1</v>
      </c>
      <c r="F228" s="12">
        <v>85</v>
      </c>
      <c r="G228" s="7">
        <v>0</v>
      </c>
      <c r="H228" s="10">
        <v>85</v>
      </c>
      <c r="I228" s="3">
        <v>45014</v>
      </c>
      <c r="J228" s="3" t="s">
        <v>2290</v>
      </c>
      <c r="K228" s="8">
        <v>2</v>
      </c>
    </row>
    <row r="229" spans="1:11" x14ac:dyDescent="0.25">
      <c r="A229" s="2" t="s">
        <v>476</v>
      </c>
      <c r="B229" s="5" t="s">
        <v>477</v>
      </c>
      <c r="C229" s="2" t="s">
        <v>19</v>
      </c>
      <c r="D229" s="1" t="s">
        <v>11</v>
      </c>
      <c r="E229" s="7">
        <v>1</v>
      </c>
      <c r="F229" s="12">
        <v>130</v>
      </c>
      <c r="G229" s="7">
        <v>10</v>
      </c>
      <c r="H229" s="10">
        <v>120</v>
      </c>
      <c r="I229" s="3">
        <v>45015</v>
      </c>
      <c r="J229" s="3" t="s">
        <v>2292</v>
      </c>
      <c r="K229" s="8">
        <v>1</v>
      </c>
    </row>
    <row r="230" spans="1:11" x14ac:dyDescent="0.25">
      <c r="A230" s="2" t="s">
        <v>478</v>
      </c>
      <c r="B230" s="5" t="s">
        <v>479</v>
      </c>
      <c r="C230" s="2" t="s">
        <v>19</v>
      </c>
      <c r="D230" s="1" t="s">
        <v>11</v>
      </c>
      <c r="E230" s="7">
        <v>2</v>
      </c>
      <c r="F230" s="12">
        <v>130</v>
      </c>
      <c r="G230" s="7">
        <v>0</v>
      </c>
      <c r="H230" s="10">
        <v>260</v>
      </c>
      <c r="I230" s="3">
        <v>45015</v>
      </c>
      <c r="J230" s="3" t="s">
        <v>2286</v>
      </c>
      <c r="K230" s="8">
        <v>2</v>
      </c>
    </row>
    <row r="231" spans="1:11" x14ac:dyDescent="0.25">
      <c r="A231" s="2" t="s">
        <v>480</v>
      </c>
      <c r="B231" s="5" t="s">
        <v>481</v>
      </c>
      <c r="C231" s="2" t="s">
        <v>19</v>
      </c>
      <c r="D231" s="1" t="s">
        <v>11</v>
      </c>
      <c r="E231" s="7">
        <v>1</v>
      </c>
      <c r="F231" s="12">
        <v>130</v>
      </c>
      <c r="G231" s="7">
        <v>10</v>
      </c>
      <c r="H231" s="10">
        <v>120</v>
      </c>
      <c r="I231" s="3">
        <v>45015</v>
      </c>
      <c r="J231" s="3" t="s">
        <v>2292</v>
      </c>
      <c r="K231" s="8">
        <v>1</v>
      </c>
    </row>
    <row r="232" spans="1:11" x14ac:dyDescent="0.25">
      <c r="A232" s="2" t="s">
        <v>482</v>
      </c>
      <c r="B232" s="5" t="s">
        <v>483</v>
      </c>
      <c r="C232" s="2" t="s">
        <v>19</v>
      </c>
      <c r="D232" s="1" t="s">
        <v>11</v>
      </c>
      <c r="E232" s="7">
        <v>2</v>
      </c>
      <c r="F232" s="12">
        <v>130</v>
      </c>
      <c r="G232" s="7">
        <v>0</v>
      </c>
      <c r="H232" s="10">
        <v>260</v>
      </c>
      <c r="I232" s="3">
        <v>45015</v>
      </c>
      <c r="J232" s="3" t="s">
        <v>2286</v>
      </c>
      <c r="K232" s="8">
        <v>2</v>
      </c>
    </row>
    <row r="233" spans="1:11" x14ac:dyDescent="0.25">
      <c r="A233" s="2" t="s">
        <v>484</v>
      </c>
      <c r="B233" s="5" t="s">
        <v>485</v>
      </c>
      <c r="C233" s="2" t="s">
        <v>32</v>
      </c>
      <c r="D233" s="1" t="s">
        <v>11</v>
      </c>
      <c r="E233" s="7">
        <v>2</v>
      </c>
      <c r="F233" s="12">
        <v>135</v>
      </c>
      <c r="G233" s="7">
        <v>0</v>
      </c>
      <c r="H233" s="10">
        <v>270</v>
      </c>
      <c r="I233" s="3">
        <v>45016</v>
      </c>
      <c r="J233" s="3" t="s">
        <v>2292</v>
      </c>
      <c r="K233" s="8">
        <v>3</v>
      </c>
    </row>
    <row r="234" spans="1:11" x14ac:dyDescent="0.25">
      <c r="A234" s="2" t="s">
        <v>486</v>
      </c>
      <c r="B234" s="5" t="s">
        <v>487</v>
      </c>
      <c r="C234" s="2" t="s">
        <v>47</v>
      </c>
      <c r="D234" s="1" t="s">
        <v>11</v>
      </c>
      <c r="E234" s="7">
        <v>1</v>
      </c>
      <c r="F234" s="12">
        <v>190</v>
      </c>
      <c r="G234" s="7">
        <v>0</v>
      </c>
      <c r="H234" s="10">
        <v>190</v>
      </c>
      <c r="I234" s="3">
        <v>45016</v>
      </c>
      <c r="J234" s="3" t="s">
        <v>2292</v>
      </c>
      <c r="K234" s="8">
        <v>2</v>
      </c>
    </row>
    <row r="235" spans="1:11" x14ac:dyDescent="0.25">
      <c r="A235" s="2" t="s">
        <v>488</v>
      </c>
      <c r="B235" s="5" t="s">
        <v>489</v>
      </c>
      <c r="C235" s="2" t="s">
        <v>32</v>
      </c>
      <c r="D235" s="1" t="s">
        <v>11</v>
      </c>
      <c r="E235" s="7">
        <v>3</v>
      </c>
      <c r="F235" s="12">
        <v>135</v>
      </c>
      <c r="G235" s="7">
        <v>10</v>
      </c>
      <c r="H235" s="10">
        <v>395</v>
      </c>
      <c r="I235" s="3">
        <v>45016</v>
      </c>
      <c r="J235" s="3" t="s">
        <v>2286</v>
      </c>
      <c r="K235" s="8">
        <v>3</v>
      </c>
    </row>
    <row r="236" spans="1:11" x14ac:dyDescent="0.25">
      <c r="A236" s="2" t="s">
        <v>490</v>
      </c>
      <c r="B236" s="5" t="s">
        <v>491</v>
      </c>
      <c r="C236" s="2" t="s">
        <v>19</v>
      </c>
      <c r="D236" s="1" t="s">
        <v>11</v>
      </c>
      <c r="E236" s="7">
        <v>1</v>
      </c>
      <c r="F236" s="12">
        <v>130</v>
      </c>
      <c r="G236" s="7">
        <v>0</v>
      </c>
      <c r="H236" s="10">
        <v>130</v>
      </c>
      <c r="I236" s="3">
        <v>45016</v>
      </c>
      <c r="J236" s="3" t="s">
        <v>2292</v>
      </c>
      <c r="K236" s="8">
        <v>4</v>
      </c>
    </row>
    <row r="237" spans="1:11" x14ac:dyDescent="0.25">
      <c r="A237" s="2" t="s">
        <v>492</v>
      </c>
      <c r="B237" s="5" t="s">
        <v>493</v>
      </c>
      <c r="C237" s="2" t="s">
        <v>32</v>
      </c>
      <c r="D237" s="1" t="s">
        <v>11</v>
      </c>
      <c r="E237" s="7">
        <v>2</v>
      </c>
      <c r="F237" s="12">
        <v>135</v>
      </c>
      <c r="G237" s="7">
        <v>0</v>
      </c>
      <c r="H237" s="10">
        <v>270</v>
      </c>
      <c r="I237" s="3">
        <v>45016</v>
      </c>
      <c r="J237" s="3" t="s">
        <v>2292</v>
      </c>
      <c r="K237" s="8">
        <v>3</v>
      </c>
    </row>
    <row r="238" spans="1:11" x14ac:dyDescent="0.25">
      <c r="A238" s="2" t="s">
        <v>494</v>
      </c>
      <c r="B238" s="5" t="s">
        <v>495</v>
      </c>
      <c r="C238" s="2" t="s">
        <v>47</v>
      </c>
      <c r="D238" s="1" t="s">
        <v>11</v>
      </c>
      <c r="E238" s="7">
        <v>1</v>
      </c>
      <c r="F238" s="12">
        <v>190</v>
      </c>
      <c r="G238" s="7">
        <v>0</v>
      </c>
      <c r="H238" s="10">
        <v>190</v>
      </c>
      <c r="I238" s="3">
        <v>45016</v>
      </c>
      <c r="J238" s="3" t="s">
        <v>2292</v>
      </c>
      <c r="K238" s="8">
        <v>1</v>
      </c>
    </row>
    <row r="239" spans="1:11" x14ac:dyDescent="0.25">
      <c r="A239" s="2" t="s">
        <v>496</v>
      </c>
      <c r="B239" s="5" t="s">
        <v>497</v>
      </c>
      <c r="C239" s="2" t="s">
        <v>32</v>
      </c>
      <c r="D239" s="1" t="s">
        <v>11</v>
      </c>
      <c r="E239" s="7">
        <v>3</v>
      </c>
      <c r="F239" s="12">
        <v>135</v>
      </c>
      <c r="G239" s="7">
        <v>10</v>
      </c>
      <c r="H239" s="10">
        <v>395</v>
      </c>
      <c r="I239" s="3">
        <v>45016</v>
      </c>
      <c r="J239" s="3" t="s">
        <v>2286</v>
      </c>
      <c r="K239" s="8">
        <v>2</v>
      </c>
    </row>
    <row r="240" spans="1:11" x14ac:dyDescent="0.25">
      <c r="A240" s="2" t="s">
        <v>498</v>
      </c>
      <c r="B240" s="5" t="s">
        <v>499</v>
      </c>
      <c r="C240" s="2" t="s">
        <v>19</v>
      </c>
      <c r="D240" s="1" t="s">
        <v>11</v>
      </c>
      <c r="E240" s="7">
        <v>1</v>
      </c>
      <c r="F240" s="12">
        <v>130</v>
      </c>
      <c r="G240" s="7">
        <v>0</v>
      </c>
      <c r="H240" s="10">
        <v>130</v>
      </c>
      <c r="I240" s="3">
        <v>45016</v>
      </c>
      <c r="J240" s="3" t="s">
        <v>2292</v>
      </c>
      <c r="K240" s="8">
        <v>4</v>
      </c>
    </row>
    <row r="241" spans="1:11" x14ac:dyDescent="0.25">
      <c r="A241" s="2" t="s">
        <v>500</v>
      </c>
      <c r="B241" s="5" t="s">
        <v>501</v>
      </c>
      <c r="C241" s="2" t="s">
        <v>32</v>
      </c>
      <c r="D241" s="1" t="s">
        <v>11</v>
      </c>
      <c r="E241" s="7">
        <v>3</v>
      </c>
      <c r="F241" s="12">
        <v>135</v>
      </c>
      <c r="G241" s="7">
        <v>10</v>
      </c>
      <c r="H241" s="10">
        <v>395</v>
      </c>
      <c r="I241" s="3">
        <v>45016</v>
      </c>
      <c r="J241" s="3" t="s">
        <v>2286</v>
      </c>
      <c r="K241" s="8">
        <v>1</v>
      </c>
    </row>
    <row r="242" spans="1:11" x14ac:dyDescent="0.25">
      <c r="A242" s="2" t="s">
        <v>502</v>
      </c>
      <c r="B242" s="5" t="s">
        <v>503</v>
      </c>
      <c r="C242" s="2" t="s">
        <v>19</v>
      </c>
      <c r="D242" s="1" t="s">
        <v>11</v>
      </c>
      <c r="E242" s="7">
        <v>1</v>
      </c>
      <c r="F242" s="12">
        <v>130</v>
      </c>
      <c r="G242" s="7">
        <v>0</v>
      </c>
      <c r="H242" s="10">
        <v>130</v>
      </c>
      <c r="I242" s="3">
        <v>45016</v>
      </c>
      <c r="J242" s="3" t="s">
        <v>2292</v>
      </c>
      <c r="K242" s="8">
        <v>2</v>
      </c>
    </row>
    <row r="243" spans="1:11" x14ac:dyDescent="0.25">
      <c r="A243" s="2" t="s">
        <v>504</v>
      </c>
      <c r="B243" s="5" t="s">
        <v>505</v>
      </c>
      <c r="C243" s="2" t="s">
        <v>19</v>
      </c>
      <c r="D243" s="1" t="s">
        <v>11</v>
      </c>
      <c r="E243" s="7">
        <v>2</v>
      </c>
      <c r="F243" s="12">
        <v>130</v>
      </c>
      <c r="G243" s="7">
        <v>5</v>
      </c>
      <c r="H243" s="10">
        <v>255</v>
      </c>
      <c r="I243" s="3">
        <v>44930</v>
      </c>
      <c r="J243" s="3" t="s">
        <v>2294</v>
      </c>
      <c r="K243" s="8">
        <v>4</v>
      </c>
    </row>
    <row r="244" spans="1:11" x14ac:dyDescent="0.25">
      <c r="A244" s="2" t="s">
        <v>506</v>
      </c>
      <c r="B244" s="5" t="s">
        <v>507</v>
      </c>
      <c r="C244" s="2" t="s">
        <v>167</v>
      </c>
      <c r="D244" s="1" t="s">
        <v>11</v>
      </c>
      <c r="E244" s="7">
        <v>2</v>
      </c>
      <c r="F244" s="12">
        <v>210</v>
      </c>
      <c r="G244" s="7">
        <v>0</v>
      </c>
      <c r="H244" s="10">
        <v>420</v>
      </c>
      <c r="I244" s="3">
        <v>44930</v>
      </c>
      <c r="J244" s="3" t="s">
        <v>2295</v>
      </c>
      <c r="K244" s="8">
        <v>1</v>
      </c>
    </row>
    <row r="245" spans="1:11" x14ac:dyDescent="0.25">
      <c r="A245" s="2" t="s">
        <v>508</v>
      </c>
      <c r="B245" s="5" t="s">
        <v>509</v>
      </c>
      <c r="C245" s="2" t="s">
        <v>19</v>
      </c>
      <c r="D245" s="1" t="s">
        <v>11</v>
      </c>
      <c r="E245" s="7">
        <v>2</v>
      </c>
      <c r="F245" s="12">
        <v>130</v>
      </c>
      <c r="G245" s="7">
        <v>5</v>
      </c>
      <c r="H245" s="10">
        <v>255</v>
      </c>
      <c r="I245" s="3">
        <v>44930</v>
      </c>
      <c r="J245" s="3" t="s">
        <v>2294</v>
      </c>
      <c r="K245" s="8">
        <v>4</v>
      </c>
    </row>
    <row r="246" spans="1:11" x14ac:dyDescent="0.25">
      <c r="A246" s="2" t="s">
        <v>510</v>
      </c>
      <c r="B246" s="5" t="s">
        <v>511</v>
      </c>
      <c r="C246" s="2" t="s">
        <v>167</v>
      </c>
      <c r="D246" s="1" t="s">
        <v>11</v>
      </c>
      <c r="E246" s="7">
        <v>2</v>
      </c>
      <c r="F246" s="12">
        <v>210</v>
      </c>
      <c r="G246" s="7">
        <v>0</v>
      </c>
      <c r="H246" s="10">
        <v>420</v>
      </c>
      <c r="I246" s="3">
        <v>44930</v>
      </c>
      <c r="J246" s="3" t="s">
        <v>2295</v>
      </c>
      <c r="K246" s="8">
        <v>2</v>
      </c>
    </row>
    <row r="247" spans="1:11" x14ac:dyDescent="0.25">
      <c r="A247" s="2" t="s">
        <v>512</v>
      </c>
      <c r="B247" s="5" t="s">
        <v>513</v>
      </c>
      <c r="C247" s="2" t="s">
        <v>167</v>
      </c>
      <c r="D247" s="1" t="s">
        <v>11</v>
      </c>
      <c r="E247" s="7">
        <v>2</v>
      </c>
      <c r="F247" s="12">
        <v>210</v>
      </c>
      <c r="G247" s="7">
        <v>0</v>
      </c>
      <c r="H247" s="10">
        <v>420</v>
      </c>
      <c r="I247" s="3">
        <v>44930</v>
      </c>
      <c r="J247" s="3" t="s">
        <v>2295</v>
      </c>
      <c r="K247" s="8">
        <v>4</v>
      </c>
    </row>
    <row r="248" spans="1:11" x14ac:dyDescent="0.25">
      <c r="A248" s="2" t="s">
        <v>514</v>
      </c>
      <c r="B248" s="5" t="s">
        <v>515</v>
      </c>
      <c r="C248" s="2" t="s">
        <v>47</v>
      </c>
      <c r="D248" s="1" t="s">
        <v>11</v>
      </c>
      <c r="E248" s="7">
        <v>1</v>
      </c>
      <c r="F248" s="12">
        <v>190</v>
      </c>
      <c r="G248" s="7">
        <v>5</v>
      </c>
      <c r="H248" s="10">
        <v>185</v>
      </c>
      <c r="I248" s="3">
        <v>44961</v>
      </c>
      <c r="J248" s="3" t="s">
        <v>2296</v>
      </c>
      <c r="K248" s="8">
        <v>3</v>
      </c>
    </row>
    <row r="249" spans="1:11" x14ac:dyDescent="0.25">
      <c r="A249" s="2" t="s">
        <v>516</v>
      </c>
      <c r="B249" s="5" t="s">
        <v>517</v>
      </c>
      <c r="C249" s="2" t="s">
        <v>93</v>
      </c>
      <c r="D249" s="1" t="s">
        <v>11</v>
      </c>
      <c r="E249" s="7">
        <v>1</v>
      </c>
      <c r="F249" s="12">
        <v>85</v>
      </c>
      <c r="G249" s="7">
        <v>0</v>
      </c>
      <c r="H249" s="10">
        <v>85</v>
      </c>
      <c r="I249" s="3">
        <v>44961</v>
      </c>
      <c r="J249" s="3" t="s">
        <v>2292</v>
      </c>
      <c r="K249" s="8">
        <v>4</v>
      </c>
    </row>
    <row r="250" spans="1:11" x14ac:dyDescent="0.25">
      <c r="A250" s="2" t="s">
        <v>518</v>
      </c>
      <c r="B250" s="5" t="s">
        <v>519</v>
      </c>
      <c r="C250" s="2" t="s">
        <v>32</v>
      </c>
      <c r="D250" s="1" t="s">
        <v>11</v>
      </c>
      <c r="E250" s="7">
        <v>1</v>
      </c>
      <c r="F250" s="12">
        <v>135</v>
      </c>
      <c r="G250" s="7">
        <v>0</v>
      </c>
      <c r="H250" s="10">
        <v>135</v>
      </c>
      <c r="I250" s="3">
        <v>44961</v>
      </c>
      <c r="J250" s="3" t="s">
        <v>2297</v>
      </c>
      <c r="K250" s="8">
        <v>3</v>
      </c>
    </row>
    <row r="251" spans="1:11" x14ac:dyDescent="0.25">
      <c r="A251" s="2" t="s">
        <v>520</v>
      </c>
      <c r="B251" s="5" t="s">
        <v>521</v>
      </c>
      <c r="C251" s="2" t="s">
        <v>47</v>
      </c>
      <c r="D251" s="1" t="s">
        <v>11</v>
      </c>
      <c r="E251" s="7">
        <v>1</v>
      </c>
      <c r="F251" s="12">
        <v>190</v>
      </c>
      <c r="G251" s="7">
        <v>5</v>
      </c>
      <c r="H251" s="10">
        <v>185</v>
      </c>
      <c r="I251" s="3">
        <v>44961</v>
      </c>
      <c r="J251" s="3" t="s">
        <v>2296</v>
      </c>
      <c r="K251" s="8">
        <v>4</v>
      </c>
    </row>
    <row r="252" spans="1:11" x14ac:dyDescent="0.25">
      <c r="A252" s="2" t="s">
        <v>522</v>
      </c>
      <c r="B252" s="5" t="s">
        <v>523</v>
      </c>
      <c r="C252" s="2" t="s">
        <v>93</v>
      </c>
      <c r="D252" s="1" t="s">
        <v>11</v>
      </c>
      <c r="E252" s="7">
        <v>1</v>
      </c>
      <c r="F252" s="12">
        <v>85</v>
      </c>
      <c r="G252" s="7">
        <v>0</v>
      </c>
      <c r="H252" s="10">
        <v>85</v>
      </c>
      <c r="I252" s="3">
        <v>44961</v>
      </c>
      <c r="J252" s="3" t="s">
        <v>2292</v>
      </c>
      <c r="K252" s="8">
        <v>4</v>
      </c>
    </row>
    <row r="253" spans="1:11" x14ac:dyDescent="0.25">
      <c r="A253" s="2" t="s">
        <v>524</v>
      </c>
      <c r="B253" s="5" t="s">
        <v>525</v>
      </c>
      <c r="C253" s="2" t="s">
        <v>32</v>
      </c>
      <c r="D253" s="1" t="s">
        <v>11</v>
      </c>
      <c r="E253" s="7">
        <v>1</v>
      </c>
      <c r="F253" s="12">
        <v>135</v>
      </c>
      <c r="G253" s="7">
        <v>0</v>
      </c>
      <c r="H253" s="10">
        <v>135</v>
      </c>
      <c r="I253" s="3">
        <v>44961</v>
      </c>
      <c r="J253" s="3" t="s">
        <v>2297</v>
      </c>
      <c r="K253" s="8">
        <v>3</v>
      </c>
    </row>
    <row r="254" spans="1:11" x14ac:dyDescent="0.25">
      <c r="A254" s="2" t="s">
        <v>526</v>
      </c>
      <c r="B254" s="5" t="s">
        <v>527</v>
      </c>
      <c r="C254" s="2" t="s">
        <v>19</v>
      </c>
      <c r="D254" s="1" t="s">
        <v>11</v>
      </c>
      <c r="E254" s="7">
        <v>1</v>
      </c>
      <c r="F254" s="12">
        <v>130</v>
      </c>
      <c r="G254" s="7">
        <v>0</v>
      </c>
      <c r="H254" s="10">
        <v>130</v>
      </c>
      <c r="I254" s="3">
        <v>45020</v>
      </c>
      <c r="J254" s="3" t="s">
        <v>2297</v>
      </c>
      <c r="K254" s="8">
        <v>3</v>
      </c>
    </row>
    <row r="255" spans="1:11" x14ac:dyDescent="0.25">
      <c r="A255" s="2" t="s">
        <v>528</v>
      </c>
      <c r="B255" s="5" t="s">
        <v>529</v>
      </c>
      <c r="C255" s="2" t="s">
        <v>19</v>
      </c>
      <c r="D255" s="1" t="s">
        <v>11</v>
      </c>
      <c r="E255" s="7">
        <v>1</v>
      </c>
      <c r="F255" s="12">
        <v>130</v>
      </c>
      <c r="G255" s="7">
        <v>0</v>
      </c>
      <c r="H255" s="10">
        <v>130</v>
      </c>
      <c r="I255" s="3">
        <v>45020</v>
      </c>
      <c r="J255" s="3" t="s">
        <v>2296</v>
      </c>
      <c r="K255" s="8">
        <v>4</v>
      </c>
    </row>
    <row r="256" spans="1:11" x14ac:dyDescent="0.25">
      <c r="A256" s="2" t="s">
        <v>530</v>
      </c>
      <c r="B256" s="5" t="s">
        <v>531</v>
      </c>
      <c r="C256" s="2" t="s">
        <v>19</v>
      </c>
      <c r="D256" s="1" t="s">
        <v>11</v>
      </c>
      <c r="E256" s="7">
        <v>1</v>
      </c>
      <c r="F256" s="12">
        <v>130</v>
      </c>
      <c r="G256" s="7">
        <v>0</v>
      </c>
      <c r="H256" s="10">
        <v>130</v>
      </c>
      <c r="I256" s="3">
        <v>45020</v>
      </c>
      <c r="J256" s="3" t="s">
        <v>2298</v>
      </c>
      <c r="K256" s="8">
        <v>2</v>
      </c>
    </row>
    <row r="257" spans="1:11" x14ac:dyDescent="0.25">
      <c r="A257" s="2" t="s">
        <v>532</v>
      </c>
      <c r="B257" s="5" t="s">
        <v>533</v>
      </c>
      <c r="C257" s="2" t="s">
        <v>19</v>
      </c>
      <c r="D257" s="1" t="s">
        <v>11</v>
      </c>
      <c r="E257" s="7">
        <v>1</v>
      </c>
      <c r="F257" s="12">
        <v>130</v>
      </c>
      <c r="G257" s="7">
        <v>0</v>
      </c>
      <c r="H257" s="10">
        <v>130</v>
      </c>
      <c r="I257" s="3">
        <v>45020</v>
      </c>
      <c r="J257" s="3" t="s">
        <v>2297</v>
      </c>
      <c r="K257" s="8">
        <v>2</v>
      </c>
    </row>
    <row r="258" spans="1:11" x14ac:dyDescent="0.25">
      <c r="A258" s="2" t="s">
        <v>534</v>
      </c>
      <c r="B258" s="5" t="s">
        <v>535</v>
      </c>
      <c r="C258" s="2" t="s">
        <v>19</v>
      </c>
      <c r="D258" s="1" t="s">
        <v>11</v>
      </c>
      <c r="E258" s="7">
        <v>1</v>
      </c>
      <c r="F258" s="12">
        <v>130</v>
      </c>
      <c r="G258" s="7">
        <v>0</v>
      </c>
      <c r="H258" s="10">
        <v>130</v>
      </c>
      <c r="I258" s="3">
        <v>45020</v>
      </c>
      <c r="J258" s="3" t="s">
        <v>2296</v>
      </c>
      <c r="K258" s="8">
        <v>3</v>
      </c>
    </row>
    <row r="259" spans="1:11" x14ac:dyDescent="0.25">
      <c r="A259" s="2" t="s">
        <v>536</v>
      </c>
      <c r="B259" s="5" t="s">
        <v>537</v>
      </c>
      <c r="C259" s="2" t="s">
        <v>19</v>
      </c>
      <c r="D259" s="1" t="s">
        <v>11</v>
      </c>
      <c r="E259" s="7">
        <v>1</v>
      </c>
      <c r="F259" s="12">
        <v>130</v>
      </c>
      <c r="G259" s="7">
        <v>0</v>
      </c>
      <c r="H259" s="10">
        <v>130</v>
      </c>
      <c r="I259" s="3">
        <v>45020</v>
      </c>
      <c r="J259" s="3" t="s">
        <v>2298</v>
      </c>
      <c r="K259" s="8">
        <v>2</v>
      </c>
    </row>
    <row r="260" spans="1:11" x14ac:dyDescent="0.25">
      <c r="A260" s="2" t="s">
        <v>538</v>
      </c>
      <c r="B260" s="5" t="s">
        <v>539</v>
      </c>
      <c r="C260" s="2" t="s">
        <v>19</v>
      </c>
      <c r="D260" s="1" t="s">
        <v>11</v>
      </c>
      <c r="E260" s="7">
        <v>1</v>
      </c>
      <c r="F260" s="12">
        <v>130</v>
      </c>
      <c r="G260" s="7">
        <v>5</v>
      </c>
      <c r="H260" s="10">
        <v>125</v>
      </c>
      <c r="I260" s="3">
        <v>45111</v>
      </c>
      <c r="J260" s="3" t="s">
        <v>2298</v>
      </c>
      <c r="K260" s="8">
        <v>2</v>
      </c>
    </row>
    <row r="261" spans="1:11" x14ac:dyDescent="0.25">
      <c r="A261" s="2" t="s">
        <v>540</v>
      </c>
      <c r="B261" s="5" t="s">
        <v>541</v>
      </c>
      <c r="C261" s="2" t="s">
        <v>19</v>
      </c>
      <c r="D261" s="1" t="s">
        <v>11</v>
      </c>
      <c r="E261" s="7">
        <v>1</v>
      </c>
      <c r="F261" s="12">
        <v>130</v>
      </c>
      <c r="G261" s="7">
        <v>5</v>
      </c>
      <c r="H261" s="10">
        <v>125</v>
      </c>
      <c r="I261" s="3">
        <v>45111</v>
      </c>
      <c r="J261" s="3" t="s">
        <v>2298</v>
      </c>
      <c r="K261" s="8">
        <v>1</v>
      </c>
    </row>
    <row r="262" spans="1:11" x14ac:dyDescent="0.25">
      <c r="A262" s="2" t="s">
        <v>542</v>
      </c>
      <c r="B262" s="5" t="s">
        <v>543</v>
      </c>
      <c r="C262" s="2" t="s">
        <v>32</v>
      </c>
      <c r="D262" s="1" t="s">
        <v>11</v>
      </c>
      <c r="E262" s="7">
        <v>1</v>
      </c>
      <c r="F262" s="12">
        <v>135</v>
      </c>
      <c r="G262" s="7">
        <v>10</v>
      </c>
      <c r="H262" s="10">
        <v>125</v>
      </c>
      <c r="I262" s="3">
        <v>45142</v>
      </c>
      <c r="J262" s="3" t="s">
        <v>2299</v>
      </c>
      <c r="K262" s="8">
        <v>1</v>
      </c>
    </row>
    <row r="263" spans="1:11" x14ac:dyDescent="0.25">
      <c r="A263" s="2" t="s">
        <v>544</v>
      </c>
      <c r="B263" s="5" t="s">
        <v>545</v>
      </c>
      <c r="C263" s="2" t="s">
        <v>19</v>
      </c>
      <c r="D263" s="1" t="s">
        <v>11</v>
      </c>
      <c r="E263" s="7">
        <v>1</v>
      </c>
      <c r="F263" s="12">
        <v>130</v>
      </c>
      <c r="G263" s="7">
        <v>0</v>
      </c>
      <c r="H263" s="10">
        <v>130</v>
      </c>
      <c r="I263" s="3">
        <v>45142</v>
      </c>
      <c r="J263" s="3" t="s">
        <v>2300</v>
      </c>
      <c r="K263" s="8">
        <v>4</v>
      </c>
    </row>
    <row r="264" spans="1:11" x14ac:dyDescent="0.25">
      <c r="A264" s="2" t="s">
        <v>546</v>
      </c>
      <c r="B264" s="5" t="s">
        <v>547</v>
      </c>
      <c r="C264" s="2" t="s">
        <v>32</v>
      </c>
      <c r="D264" s="1" t="s">
        <v>11</v>
      </c>
      <c r="E264" s="7">
        <v>1</v>
      </c>
      <c r="F264" s="12">
        <v>135</v>
      </c>
      <c r="G264" s="7">
        <v>10</v>
      </c>
      <c r="H264" s="10">
        <v>125</v>
      </c>
      <c r="I264" s="3">
        <v>45142</v>
      </c>
      <c r="J264" s="3" t="s">
        <v>2299</v>
      </c>
      <c r="K264" s="8">
        <v>2</v>
      </c>
    </row>
    <row r="265" spans="1:11" x14ac:dyDescent="0.25">
      <c r="A265" s="2" t="s">
        <v>548</v>
      </c>
      <c r="B265" s="5" t="s">
        <v>549</v>
      </c>
      <c r="C265" s="2" t="s">
        <v>19</v>
      </c>
      <c r="D265" s="1" t="s">
        <v>11</v>
      </c>
      <c r="E265" s="7">
        <v>1</v>
      </c>
      <c r="F265" s="12">
        <v>130</v>
      </c>
      <c r="G265" s="7">
        <v>0</v>
      </c>
      <c r="H265" s="10">
        <v>130</v>
      </c>
      <c r="I265" s="3">
        <v>45142</v>
      </c>
      <c r="J265" s="3" t="s">
        <v>2300</v>
      </c>
      <c r="K265" s="8">
        <v>3</v>
      </c>
    </row>
    <row r="266" spans="1:11" x14ac:dyDescent="0.25">
      <c r="A266" s="2" t="s">
        <v>550</v>
      </c>
      <c r="B266" s="5" t="s">
        <v>551</v>
      </c>
      <c r="C266" s="2" t="s">
        <v>19</v>
      </c>
      <c r="D266" s="1" t="s">
        <v>11</v>
      </c>
      <c r="E266" s="7">
        <v>2</v>
      </c>
      <c r="F266" s="12">
        <v>130</v>
      </c>
      <c r="G266" s="7">
        <v>10</v>
      </c>
      <c r="H266" s="10">
        <v>250</v>
      </c>
      <c r="I266" s="3">
        <v>45173</v>
      </c>
      <c r="J266" s="3" t="s">
        <v>2299</v>
      </c>
      <c r="K266" s="8">
        <v>1</v>
      </c>
    </row>
    <row r="267" spans="1:11" x14ac:dyDescent="0.25">
      <c r="A267" s="2" t="s">
        <v>552</v>
      </c>
      <c r="B267" s="5" t="s">
        <v>553</v>
      </c>
      <c r="C267" s="2" t="s">
        <v>16</v>
      </c>
      <c r="D267" s="1" t="s">
        <v>11</v>
      </c>
      <c r="E267" s="7">
        <v>2</v>
      </c>
      <c r="F267" s="12">
        <v>90</v>
      </c>
      <c r="G267" s="7">
        <v>0</v>
      </c>
      <c r="H267" s="10">
        <v>180</v>
      </c>
      <c r="I267" s="3">
        <v>45173</v>
      </c>
      <c r="J267" s="3" t="s">
        <v>2301</v>
      </c>
      <c r="K267" s="8">
        <v>2</v>
      </c>
    </row>
    <row r="268" spans="1:11" x14ac:dyDescent="0.25">
      <c r="A268" s="2" t="s">
        <v>554</v>
      </c>
      <c r="B268" s="5" t="s">
        <v>555</v>
      </c>
      <c r="C268" s="2" t="s">
        <v>19</v>
      </c>
      <c r="D268" s="1" t="s">
        <v>11</v>
      </c>
      <c r="E268" s="7">
        <v>2</v>
      </c>
      <c r="F268" s="12">
        <v>130</v>
      </c>
      <c r="G268" s="7">
        <v>10</v>
      </c>
      <c r="H268" s="10">
        <v>250</v>
      </c>
      <c r="I268" s="3">
        <v>45173</v>
      </c>
      <c r="J268" s="3" t="s">
        <v>2299</v>
      </c>
      <c r="K268" s="8">
        <v>4</v>
      </c>
    </row>
    <row r="269" spans="1:11" x14ac:dyDescent="0.25">
      <c r="A269" s="2" t="s">
        <v>556</v>
      </c>
      <c r="B269" s="5" t="s">
        <v>557</v>
      </c>
      <c r="C269" s="2" t="s">
        <v>16</v>
      </c>
      <c r="D269" s="1" t="s">
        <v>11</v>
      </c>
      <c r="E269" s="7">
        <v>2</v>
      </c>
      <c r="F269" s="12">
        <v>90</v>
      </c>
      <c r="G269" s="7">
        <v>0</v>
      </c>
      <c r="H269" s="10">
        <v>180</v>
      </c>
      <c r="I269" s="3">
        <v>45173</v>
      </c>
      <c r="J269" s="3" t="s">
        <v>2301</v>
      </c>
      <c r="K269" s="8">
        <v>3</v>
      </c>
    </row>
    <row r="270" spans="1:11" x14ac:dyDescent="0.25">
      <c r="A270" s="2" t="s">
        <v>558</v>
      </c>
      <c r="B270" s="5" t="s">
        <v>559</v>
      </c>
      <c r="C270" s="2" t="s">
        <v>32</v>
      </c>
      <c r="D270" s="1" t="s">
        <v>11</v>
      </c>
      <c r="E270" s="7">
        <v>1</v>
      </c>
      <c r="F270" s="12">
        <v>135</v>
      </c>
      <c r="G270" s="7">
        <v>0</v>
      </c>
      <c r="H270" s="10">
        <v>135</v>
      </c>
      <c r="I270" s="3">
        <v>45203</v>
      </c>
      <c r="J270" s="3" t="s">
        <v>2302</v>
      </c>
      <c r="K270" s="8">
        <v>2</v>
      </c>
    </row>
    <row r="271" spans="1:11" x14ac:dyDescent="0.25">
      <c r="A271" s="2" t="s">
        <v>560</v>
      </c>
      <c r="B271" s="5" t="s">
        <v>561</v>
      </c>
      <c r="C271" s="2" t="s">
        <v>47</v>
      </c>
      <c r="D271" s="1" t="s">
        <v>11</v>
      </c>
      <c r="E271" s="7">
        <v>2</v>
      </c>
      <c r="F271" s="12">
        <v>190</v>
      </c>
      <c r="G271" s="7">
        <v>5</v>
      </c>
      <c r="H271" s="10">
        <v>375</v>
      </c>
      <c r="I271" s="3">
        <v>45203</v>
      </c>
      <c r="J271" s="3" t="s">
        <v>2303</v>
      </c>
      <c r="K271" s="8">
        <v>1</v>
      </c>
    </row>
    <row r="272" spans="1:11" x14ac:dyDescent="0.25">
      <c r="A272" s="2" t="s">
        <v>562</v>
      </c>
      <c r="B272" s="5" t="s">
        <v>563</v>
      </c>
      <c r="C272" s="2" t="s">
        <v>32</v>
      </c>
      <c r="D272" s="1" t="s">
        <v>11</v>
      </c>
      <c r="E272" s="7">
        <v>1</v>
      </c>
      <c r="F272" s="12">
        <v>135</v>
      </c>
      <c r="G272" s="7">
        <v>0</v>
      </c>
      <c r="H272" s="10">
        <v>135</v>
      </c>
      <c r="I272" s="3">
        <v>45203</v>
      </c>
      <c r="J272" s="3" t="s">
        <v>2302</v>
      </c>
      <c r="K272" s="8">
        <v>1</v>
      </c>
    </row>
    <row r="273" spans="1:11" x14ac:dyDescent="0.25">
      <c r="A273" s="2" t="s">
        <v>564</v>
      </c>
      <c r="B273" s="5" t="s">
        <v>565</v>
      </c>
      <c r="C273" s="2" t="s">
        <v>47</v>
      </c>
      <c r="D273" s="1" t="s">
        <v>11</v>
      </c>
      <c r="E273" s="7">
        <v>2</v>
      </c>
      <c r="F273" s="12">
        <v>190</v>
      </c>
      <c r="G273" s="7">
        <v>5</v>
      </c>
      <c r="H273" s="10">
        <v>375</v>
      </c>
      <c r="I273" s="3">
        <v>45203</v>
      </c>
      <c r="J273" s="3" t="s">
        <v>2303</v>
      </c>
      <c r="K273" s="8">
        <v>2</v>
      </c>
    </row>
    <row r="274" spans="1:11" x14ac:dyDescent="0.25">
      <c r="A274" s="2" t="s">
        <v>566</v>
      </c>
      <c r="B274" s="5" t="s">
        <v>567</v>
      </c>
      <c r="C274" s="2" t="s">
        <v>47</v>
      </c>
      <c r="D274" s="1" t="s">
        <v>11</v>
      </c>
      <c r="E274" s="7">
        <v>2</v>
      </c>
      <c r="F274" s="12">
        <v>190</v>
      </c>
      <c r="G274" s="7">
        <v>5</v>
      </c>
      <c r="H274" s="10">
        <v>375</v>
      </c>
      <c r="I274" s="3">
        <v>45203</v>
      </c>
      <c r="J274" s="3" t="s">
        <v>2303</v>
      </c>
      <c r="K274" s="8">
        <v>4</v>
      </c>
    </row>
    <row r="275" spans="1:11" x14ac:dyDescent="0.25">
      <c r="A275" s="2" t="s">
        <v>568</v>
      </c>
      <c r="B275" s="5" t="s">
        <v>569</v>
      </c>
      <c r="C275" s="2" t="s">
        <v>32</v>
      </c>
      <c r="D275" s="1" t="s">
        <v>11</v>
      </c>
      <c r="E275" s="7">
        <v>3</v>
      </c>
      <c r="F275" s="12">
        <v>135</v>
      </c>
      <c r="G275" s="7">
        <v>0</v>
      </c>
      <c r="H275" s="10">
        <v>405</v>
      </c>
      <c r="I275" s="3">
        <v>45234</v>
      </c>
      <c r="J275" s="3" t="s">
        <v>2301</v>
      </c>
      <c r="K275" s="8">
        <v>3</v>
      </c>
    </row>
    <row r="276" spans="1:11" x14ac:dyDescent="0.25">
      <c r="A276" s="2" t="s">
        <v>570</v>
      </c>
      <c r="B276" s="5" t="s">
        <v>571</v>
      </c>
      <c r="C276" s="2" t="s">
        <v>32</v>
      </c>
      <c r="D276" s="1" t="s">
        <v>11</v>
      </c>
      <c r="E276" s="7">
        <v>3</v>
      </c>
      <c r="F276" s="12">
        <v>135</v>
      </c>
      <c r="G276" s="7">
        <v>0</v>
      </c>
      <c r="H276" s="10">
        <v>405</v>
      </c>
      <c r="I276" s="3">
        <v>45234</v>
      </c>
      <c r="J276" s="3" t="s">
        <v>2301</v>
      </c>
      <c r="K276" s="8">
        <v>2</v>
      </c>
    </row>
    <row r="277" spans="1:11" x14ac:dyDescent="0.25">
      <c r="A277" s="2" t="s">
        <v>572</v>
      </c>
      <c r="B277" s="5" t="s">
        <v>573</v>
      </c>
      <c r="C277" s="2" t="s">
        <v>32</v>
      </c>
      <c r="D277" s="1" t="s">
        <v>11</v>
      </c>
      <c r="E277" s="7">
        <v>3</v>
      </c>
      <c r="F277" s="12">
        <v>135</v>
      </c>
      <c r="G277" s="7">
        <v>0</v>
      </c>
      <c r="H277" s="10">
        <v>405</v>
      </c>
      <c r="I277" s="3">
        <v>45234</v>
      </c>
      <c r="J277" s="3" t="s">
        <v>2301</v>
      </c>
      <c r="K277" s="8">
        <v>3</v>
      </c>
    </row>
    <row r="278" spans="1:11" x14ac:dyDescent="0.25">
      <c r="A278" s="2" t="s">
        <v>574</v>
      </c>
      <c r="B278" s="5" t="s">
        <v>575</v>
      </c>
      <c r="C278" s="2" t="s">
        <v>19</v>
      </c>
      <c r="D278" s="1" t="s">
        <v>11</v>
      </c>
      <c r="E278" s="7">
        <v>1</v>
      </c>
      <c r="F278" s="12">
        <v>130</v>
      </c>
      <c r="G278" s="7">
        <v>0</v>
      </c>
      <c r="H278" s="10">
        <v>130</v>
      </c>
      <c r="I278" s="3">
        <v>45029</v>
      </c>
      <c r="J278" s="3" t="s">
        <v>2302</v>
      </c>
      <c r="K278" s="8">
        <v>2</v>
      </c>
    </row>
    <row r="279" spans="1:11" x14ac:dyDescent="0.25">
      <c r="A279" s="2" t="s">
        <v>576</v>
      </c>
      <c r="B279" s="5" t="s">
        <v>577</v>
      </c>
      <c r="C279" s="2" t="s">
        <v>32</v>
      </c>
      <c r="D279" s="1" t="s">
        <v>11</v>
      </c>
      <c r="E279" s="7">
        <v>1</v>
      </c>
      <c r="F279" s="12">
        <v>135</v>
      </c>
      <c r="G279" s="7">
        <v>10</v>
      </c>
      <c r="H279" s="10">
        <v>125</v>
      </c>
      <c r="I279" s="3">
        <v>45029</v>
      </c>
      <c r="J279" s="3" t="s">
        <v>2302</v>
      </c>
      <c r="K279" s="8">
        <v>1</v>
      </c>
    </row>
    <row r="280" spans="1:11" x14ac:dyDescent="0.25">
      <c r="A280" s="2" t="s">
        <v>578</v>
      </c>
      <c r="B280" s="5" t="s">
        <v>579</v>
      </c>
      <c r="C280" s="2" t="s">
        <v>19</v>
      </c>
      <c r="D280" s="1" t="s">
        <v>11</v>
      </c>
      <c r="E280" s="7">
        <v>1</v>
      </c>
      <c r="F280" s="12">
        <v>130</v>
      </c>
      <c r="G280" s="7">
        <v>10</v>
      </c>
      <c r="H280" s="10">
        <v>120</v>
      </c>
      <c r="I280" s="3">
        <v>45029</v>
      </c>
      <c r="J280" s="3" t="s">
        <v>2305</v>
      </c>
      <c r="K280" s="8">
        <v>2</v>
      </c>
    </row>
    <row r="281" spans="1:11" x14ac:dyDescent="0.25">
      <c r="A281" s="2" t="s">
        <v>580</v>
      </c>
      <c r="B281" s="5" t="s">
        <v>581</v>
      </c>
      <c r="C281" s="2" t="s">
        <v>19</v>
      </c>
      <c r="D281" s="1" t="s">
        <v>11</v>
      </c>
      <c r="E281" s="7">
        <v>1</v>
      </c>
      <c r="F281" s="12">
        <v>130</v>
      </c>
      <c r="G281" s="7">
        <v>0</v>
      </c>
      <c r="H281" s="10">
        <v>130</v>
      </c>
      <c r="I281" s="3">
        <v>45029</v>
      </c>
      <c r="J281" s="3" t="s">
        <v>2302</v>
      </c>
      <c r="K281" s="8">
        <v>1</v>
      </c>
    </row>
    <row r="282" spans="1:11" x14ac:dyDescent="0.25">
      <c r="A282" s="2" t="s">
        <v>582</v>
      </c>
      <c r="B282" s="5" t="s">
        <v>583</v>
      </c>
      <c r="C282" s="2" t="s">
        <v>32</v>
      </c>
      <c r="D282" s="1" t="s">
        <v>11</v>
      </c>
      <c r="E282" s="7">
        <v>1</v>
      </c>
      <c r="F282" s="12">
        <v>135</v>
      </c>
      <c r="G282" s="7">
        <v>10</v>
      </c>
      <c r="H282" s="10">
        <v>125</v>
      </c>
      <c r="I282" s="3">
        <v>45029</v>
      </c>
      <c r="J282" s="3" t="s">
        <v>2302</v>
      </c>
      <c r="K282" s="8">
        <v>3</v>
      </c>
    </row>
    <row r="283" spans="1:11" x14ac:dyDescent="0.25">
      <c r="A283" s="2" t="s">
        <v>584</v>
      </c>
      <c r="B283" s="5" t="s">
        <v>585</v>
      </c>
      <c r="C283" s="2" t="s">
        <v>19</v>
      </c>
      <c r="D283" s="1" t="s">
        <v>11</v>
      </c>
      <c r="E283" s="7">
        <v>1</v>
      </c>
      <c r="F283" s="12">
        <v>130</v>
      </c>
      <c r="G283" s="7">
        <v>10</v>
      </c>
      <c r="H283" s="10">
        <v>120</v>
      </c>
      <c r="I283" s="3">
        <v>45029</v>
      </c>
      <c r="J283" s="3" t="s">
        <v>2305</v>
      </c>
      <c r="K283" s="8">
        <v>1</v>
      </c>
    </row>
    <row r="284" spans="1:11" x14ac:dyDescent="0.25">
      <c r="A284" s="2" t="s">
        <v>586</v>
      </c>
      <c r="B284" s="5" t="s">
        <v>587</v>
      </c>
      <c r="C284" s="2" t="s">
        <v>32</v>
      </c>
      <c r="D284" s="1" t="s">
        <v>11</v>
      </c>
      <c r="E284" s="7">
        <v>1</v>
      </c>
      <c r="F284" s="12">
        <v>135</v>
      </c>
      <c r="G284" s="7">
        <v>10</v>
      </c>
      <c r="H284" s="10">
        <v>125</v>
      </c>
      <c r="I284" s="3">
        <v>45029</v>
      </c>
      <c r="J284" s="3" t="s">
        <v>2302</v>
      </c>
      <c r="K284" s="8">
        <v>4</v>
      </c>
    </row>
    <row r="285" spans="1:11" x14ac:dyDescent="0.25">
      <c r="A285" s="2" t="s">
        <v>588</v>
      </c>
      <c r="B285" s="5" t="s">
        <v>589</v>
      </c>
      <c r="C285" s="2" t="s">
        <v>19</v>
      </c>
      <c r="D285" s="1" t="s">
        <v>11</v>
      </c>
      <c r="E285" s="7">
        <v>1</v>
      </c>
      <c r="F285" s="12">
        <v>130</v>
      </c>
      <c r="G285" s="7">
        <v>10</v>
      </c>
      <c r="H285" s="10">
        <v>120</v>
      </c>
      <c r="I285" s="3">
        <v>45029</v>
      </c>
      <c r="J285" s="3" t="s">
        <v>2305</v>
      </c>
      <c r="K285" s="8">
        <v>4</v>
      </c>
    </row>
    <row r="286" spans="1:11" x14ac:dyDescent="0.25">
      <c r="A286" s="2" t="s">
        <v>590</v>
      </c>
      <c r="B286" s="5" t="s">
        <v>591</v>
      </c>
      <c r="C286" s="2" t="s">
        <v>19</v>
      </c>
      <c r="D286" s="1" t="s">
        <v>11</v>
      </c>
      <c r="E286" s="7">
        <v>1</v>
      </c>
      <c r="F286" s="12">
        <v>130</v>
      </c>
      <c r="G286" s="7">
        <v>0</v>
      </c>
      <c r="H286" s="10">
        <v>130</v>
      </c>
      <c r="I286" s="3">
        <v>45030</v>
      </c>
      <c r="J286" s="3" t="s">
        <v>2307</v>
      </c>
      <c r="K286" s="8">
        <v>2</v>
      </c>
    </row>
    <row r="287" spans="1:11" x14ac:dyDescent="0.25">
      <c r="A287" s="2" t="s">
        <v>592</v>
      </c>
      <c r="B287" s="5" t="s">
        <v>593</v>
      </c>
      <c r="C287" s="2" t="s">
        <v>70</v>
      </c>
      <c r="D287" s="1" t="s">
        <v>11</v>
      </c>
      <c r="E287" s="7">
        <v>1</v>
      </c>
      <c r="F287" s="12">
        <v>125</v>
      </c>
      <c r="G287" s="7">
        <v>5</v>
      </c>
      <c r="H287" s="10">
        <v>120</v>
      </c>
      <c r="I287" s="3">
        <v>45030</v>
      </c>
      <c r="J287" s="3" t="s">
        <v>2305</v>
      </c>
      <c r="K287" s="8">
        <v>2</v>
      </c>
    </row>
    <row r="288" spans="1:11" x14ac:dyDescent="0.25">
      <c r="A288" s="2" t="s">
        <v>594</v>
      </c>
      <c r="B288" s="5" t="s">
        <v>595</v>
      </c>
      <c r="C288" s="2" t="s">
        <v>19</v>
      </c>
      <c r="D288" s="1" t="s">
        <v>11</v>
      </c>
      <c r="E288" s="7">
        <v>1</v>
      </c>
      <c r="F288" s="12">
        <v>130</v>
      </c>
      <c r="G288" s="7">
        <v>0</v>
      </c>
      <c r="H288" s="10">
        <v>130</v>
      </c>
      <c r="I288" s="3">
        <v>45030</v>
      </c>
      <c r="J288" s="3" t="s">
        <v>2307</v>
      </c>
      <c r="K288" s="8">
        <v>4</v>
      </c>
    </row>
    <row r="289" spans="1:11" x14ac:dyDescent="0.25">
      <c r="A289" s="2" t="s">
        <v>596</v>
      </c>
      <c r="B289" s="5" t="s">
        <v>597</v>
      </c>
      <c r="C289" s="2" t="s">
        <v>70</v>
      </c>
      <c r="D289" s="1" t="s">
        <v>11</v>
      </c>
      <c r="E289" s="7">
        <v>1</v>
      </c>
      <c r="F289" s="12">
        <v>125</v>
      </c>
      <c r="G289" s="7">
        <v>5</v>
      </c>
      <c r="H289" s="10">
        <v>120</v>
      </c>
      <c r="I289" s="3">
        <v>45030</v>
      </c>
      <c r="J289" s="3" t="s">
        <v>2305</v>
      </c>
      <c r="K289" s="8">
        <v>1</v>
      </c>
    </row>
    <row r="290" spans="1:11" x14ac:dyDescent="0.25">
      <c r="A290" s="2" t="s">
        <v>598</v>
      </c>
      <c r="B290" s="5" t="s">
        <v>599</v>
      </c>
      <c r="C290" s="2" t="s">
        <v>70</v>
      </c>
      <c r="D290" s="1" t="s">
        <v>11</v>
      </c>
      <c r="E290" s="7">
        <v>1</v>
      </c>
      <c r="F290" s="12">
        <v>125</v>
      </c>
      <c r="G290" s="7">
        <v>5</v>
      </c>
      <c r="H290" s="10">
        <v>120</v>
      </c>
      <c r="I290" s="3">
        <v>45030</v>
      </c>
      <c r="J290" s="3" t="s">
        <v>2305</v>
      </c>
      <c r="K290" s="8">
        <v>2</v>
      </c>
    </row>
    <row r="291" spans="1:11" x14ac:dyDescent="0.25">
      <c r="A291" s="2" t="s">
        <v>600</v>
      </c>
      <c r="B291" s="5" t="s">
        <v>601</v>
      </c>
      <c r="C291" s="2" t="s">
        <v>10</v>
      </c>
      <c r="D291" s="1" t="s">
        <v>11</v>
      </c>
      <c r="E291" s="7">
        <v>1</v>
      </c>
      <c r="F291" s="12">
        <v>160</v>
      </c>
      <c r="G291" s="7">
        <v>0</v>
      </c>
      <c r="H291" s="10">
        <v>160</v>
      </c>
      <c r="I291" s="3">
        <v>45032</v>
      </c>
      <c r="J291" s="3" t="s">
        <v>2309</v>
      </c>
      <c r="K291" s="8">
        <v>2</v>
      </c>
    </row>
    <row r="292" spans="1:11" x14ac:dyDescent="0.25">
      <c r="A292" s="2" t="s">
        <v>602</v>
      </c>
      <c r="B292" s="5" t="s">
        <v>603</v>
      </c>
      <c r="C292" s="2" t="s">
        <v>19</v>
      </c>
      <c r="D292" s="1" t="s">
        <v>11</v>
      </c>
      <c r="E292" s="7">
        <v>1</v>
      </c>
      <c r="F292" s="12">
        <v>130</v>
      </c>
      <c r="G292" s="7">
        <v>10</v>
      </c>
      <c r="H292" s="10">
        <v>120</v>
      </c>
      <c r="I292" s="3">
        <v>45032</v>
      </c>
      <c r="J292" s="3" t="s">
        <v>2310</v>
      </c>
      <c r="K292" s="8">
        <v>1</v>
      </c>
    </row>
    <row r="293" spans="1:11" x14ac:dyDescent="0.25">
      <c r="A293" s="2" t="s">
        <v>604</v>
      </c>
      <c r="B293" s="5" t="s">
        <v>605</v>
      </c>
      <c r="C293" s="2" t="s">
        <v>10</v>
      </c>
      <c r="D293" s="1" t="s">
        <v>11</v>
      </c>
      <c r="E293" s="7">
        <v>1</v>
      </c>
      <c r="F293" s="12">
        <v>160</v>
      </c>
      <c r="G293" s="7">
        <v>0</v>
      </c>
      <c r="H293" s="10">
        <v>160</v>
      </c>
      <c r="I293" s="3">
        <v>45032</v>
      </c>
      <c r="J293" s="3" t="s">
        <v>2309</v>
      </c>
      <c r="K293" s="8">
        <v>4</v>
      </c>
    </row>
    <row r="294" spans="1:11" x14ac:dyDescent="0.25">
      <c r="A294" s="2" t="s">
        <v>606</v>
      </c>
      <c r="B294" s="5" t="s">
        <v>607</v>
      </c>
      <c r="C294" s="2" t="s">
        <v>19</v>
      </c>
      <c r="D294" s="1" t="s">
        <v>11</v>
      </c>
      <c r="E294" s="7">
        <v>1</v>
      </c>
      <c r="F294" s="12">
        <v>130</v>
      </c>
      <c r="G294" s="7">
        <v>10</v>
      </c>
      <c r="H294" s="10">
        <v>120</v>
      </c>
      <c r="I294" s="3">
        <v>45032</v>
      </c>
      <c r="J294" s="3" t="s">
        <v>2310</v>
      </c>
      <c r="K294" s="8">
        <v>2</v>
      </c>
    </row>
    <row r="295" spans="1:11" x14ac:dyDescent="0.25">
      <c r="A295" s="2" t="s">
        <v>608</v>
      </c>
      <c r="B295" s="5" t="s">
        <v>609</v>
      </c>
      <c r="C295" s="2" t="s">
        <v>10</v>
      </c>
      <c r="D295" s="1" t="s">
        <v>11</v>
      </c>
      <c r="E295" s="7">
        <v>1</v>
      </c>
      <c r="F295" s="12">
        <v>160</v>
      </c>
      <c r="G295" s="7">
        <v>0</v>
      </c>
      <c r="H295" s="10">
        <v>160</v>
      </c>
      <c r="I295" s="3">
        <v>45032</v>
      </c>
      <c r="J295" s="3" t="s">
        <v>2309</v>
      </c>
      <c r="K295" s="8">
        <v>1</v>
      </c>
    </row>
    <row r="296" spans="1:11" x14ac:dyDescent="0.25">
      <c r="A296" s="2" t="s">
        <v>610</v>
      </c>
      <c r="B296" s="5" t="s">
        <v>611</v>
      </c>
      <c r="C296" s="2" t="s">
        <v>19</v>
      </c>
      <c r="D296" s="1" t="s">
        <v>11</v>
      </c>
      <c r="E296" s="7">
        <v>1</v>
      </c>
      <c r="F296" s="12">
        <v>130</v>
      </c>
      <c r="G296" s="7">
        <v>10</v>
      </c>
      <c r="H296" s="10">
        <v>120</v>
      </c>
      <c r="I296" s="3">
        <v>45032</v>
      </c>
      <c r="J296" s="3" t="s">
        <v>2310</v>
      </c>
      <c r="K296" s="8">
        <v>2</v>
      </c>
    </row>
    <row r="297" spans="1:11" x14ac:dyDescent="0.25">
      <c r="A297" s="2" t="s">
        <v>612</v>
      </c>
      <c r="B297" s="5" t="s">
        <v>613</v>
      </c>
      <c r="C297" s="2" t="s">
        <v>167</v>
      </c>
      <c r="D297" s="1" t="s">
        <v>11</v>
      </c>
      <c r="E297" s="7">
        <v>1</v>
      </c>
      <c r="F297" s="12">
        <v>210</v>
      </c>
      <c r="G297" s="7">
        <v>0</v>
      </c>
      <c r="H297" s="10">
        <v>210</v>
      </c>
      <c r="I297" s="3">
        <v>45033</v>
      </c>
      <c r="J297" s="3" t="s">
        <v>2312</v>
      </c>
      <c r="K297" s="8">
        <v>1</v>
      </c>
    </row>
    <row r="298" spans="1:11" x14ac:dyDescent="0.25">
      <c r="A298" s="2" t="s">
        <v>614</v>
      </c>
      <c r="B298" s="5" t="s">
        <v>615</v>
      </c>
      <c r="C298" s="2" t="s">
        <v>167</v>
      </c>
      <c r="D298" s="1" t="s">
        <v>11</v>
      </c>
      <c r="E298" s="7">
        <v>1</v>
      </c>
      <c r="F298" s="12">
        <v>210</v>
      </c>
      <c r="G298" s="7">
        <v>0</v>
      </c>
      <c r="H298" s="10">
        <v>210</v>
      </c>
      <c r="I298" s="3">
        <v>45033</v>
      </c>
      <c r="J298" s="3" t="s">
        <v>2312</v>
      </c>
      <c r="K298" s="8">
        <v>1</v>
      </c>
    </row>
    <row r="299" spans="1:11" x14ac:dyDescent="0.25">
      <c r="A299" s="2" t="s">
        <v>616</v>
      </c>
      <c r="B299" s="5" t="s">
        <v>617</v>
      </c>
      <c r="C299" s="2" t="s">
        <v>167</v>
      </c>
      <c r="D299" s="1" t="s">
        <v>11</v>
      </c>
      <c r="E299" s="7">
        <v>1</v>
      </c>
      <c r="F299" s="12">
        <v>210</v>
      </c>
      <c r="G299" s="7">
        <v>0</v>
      </c>
      <c r="H299" s="10">
        <v>210</v>
      </c>
      <c r="I299" s="3">
        <v>45033</v>
      </c>
      <c r="J299" s="3" t="s">
        <v>2312</v>
      </c>
      <c r="K299" s="8">
        <v>2</v>
      </c>
    </row>
    <row r="300" spans="1:11" x14ac:dyDescent="0.25">
      <c r="A300" s="2" t="s">
        <v>618</v>
      </c>
      <c r="B300" s="5" t="s">
        <v>619</v>
      </c>
      <c r="C300" s="2" t="s">
        <v>32</v>
      </c>
      <c r="D300" s="1" t="s">
        <v>11</v>
      </c>
      <c r="E300" s="7">
        <v>1</v>
      </c>
      <c r="F300" s="12">
        <v>135</v>
      </c>
      <c r="G300" s="7">
        <v>0</v>
      </c>
      <c r="H300" s="10">
        <v>135</v>
      </c>
      <c r="I300" s="3">
        <v>45034</v>
      </c>
      <c r="J300" s="3" t="s">
        <v>2314</v>
      </c>
      <c r="K300" s="8">
        <v>4</v>
      </c>
    </row>
    <row r="301" spans="1:11" x14ac:dyDescent="0.25">
      <c r="A301" s="2" t="s">
        <v>620</v>
      </c>
      <c r="B301" s="5" t="s">
        <v>621</v>
      </c>
      <c r="C301" s="2" t="s">
        <v>70</v>
      </c>
      <c r="D301" s="1" t="s">
        <v>11</v>
      </c>
      <c r="E301" s="7">
        <v>1</v>
      </c>
      <c r="F301" s="12">
        <v>125</v>
      </c>
      <c r="G301" s="7">
        <v>0</v>
      </c>
      <c r="H301" s="10">
        <v>125</v>
      </c>
      <c r="I301" s="3">
        <v>45034</v>
      </c>
      <c r="J301" s="3" t="s">
        <v>2310</v>
      </c>
      <c r="K301" s="8">
        <v>4</v>
      </c>
    </row>
    <row r="302" spans="1:11" x14ac:dyDescent="0.25">
      <c r="A302" s="2" t="s">
        <v>622</v>
      </c>
      <c r="B302" s="5" t="s">
        <v>623</v>
      </c>
      <c r="C302" s="2" t="s">
        <v>32</v>
      </c>
      <c r="D302" s="1" t="s">
        <v>11</v>
      </c>
      <c r="E302" s="7">
        <v>1</v>
      </c>
      <c r="F302" s="12">
        <v>135</v>
      </c>
      <c r="G302" s="7">
        <v>0</v>
      </c>
      <c r="H302" s="10">
        <v>135</v>
      </c>
      <c r="I302" s="3">
        <v>45034</v>
      </c>
      <c r="J302" s="3" t="s">
        <v>2314</v>
      </c>
      <c r="K302" s="8">
        <v>1</v>
      </c>
    </row>
    <row r="303" spans="1:11" x14ac:dyDescent="0.25">
      <c r="A303" s="2" t="s">
        <v>624</v>
      </c>
      <c r="B303" s="5" t="s">
        <v>625</v>
      </c>
      <c r="C303" s="2" t="s">
        <v>70</v>
      </c>
      <c r="D303" s="1" t="s">
        <v>11</v>
      </c>
      <c r="E303" s="7">
        <v>1</v>
      </c>
      <c r="F303" s="12">
        <v>125</v>
      </c>
      <c r="G303" s="7">
        <v>0</v>
      </c>
      <c r="H303" s="10">
        <v>125</v>
      </c>
      <c r="I303" s="3">
        <v>45034</v>
      </c>
      <c r="J303" s="3" t="s">
        <v>2310</v>
      </c>
      <c r="K303" s="8">
        <v>3</v>
      </c>
    </row>
    <row r="304" spans="1:11" x14ac:dyDescent="0.25">
      <c r="A304" s="2" t="s">
        <v>626</v>
      </c>
      <c r="B304" s="5" t="s">
        <v>627</v>
      </c>
      <c r="C304" s="2" t="s">
        <v>19</v>
      </c>
      <c r="D304" s="1" t="s">
        <v>11</v>
      </c>
      <c r="E304" s="7">
        <v>1</v>
      </c>
      <c r="F304" s="12">
        <v>130</v>
      </c>
      <c r="G304" s="7">
        <v>5</v>
      </c>
      <c r="H304" s="10">
        <v>125</v>
      </c>
      <c r="I304" s="3">
        <v>45035</v>
      </c>
      <c r="J304" s="3" t="s">
        <v>2310</v>
      </c>
      <c r="K304" s="8">
        <v>2</v>
      </c>
    </row>
    <row r="305" spans="1:11" x14ac:dyDescent="0.25">
      <c r="A305" s="2" t="s">
        <v>628</v>
      </c>
      <c r="B305" s="5" t="s">
        <v>629</v>
      </c>
      <c r="C305" s="2" t="s">
        <v>32</v>
      </c>
      <c r="D305" s="1" t="s">
        <v>11</v>
      </c>
      <c r="E305" s="7">
        <v>1</v>
      </c>
      <c r="F305" s="12">
        <v>135</v>
      </c>
      <c r="G305" s="7">
        <v>0</v>
      </c>
      <c r="H305" s="10">
        <v>135</v>
      </c>
      <c r="I305" s="3">
        <v>45035</v>
      </c>
      <c r="J305" s="3" t="s">
        <v>2312</v>
      </c>
      <c r="K305" s="8">
        <v>4</v>
      </c>
    </row>
    <row r="306" spans="1:11" x14ac:dyDescent="0.25">
      <c r="A306" s="2" t="s">
        <v>630</v>
      </c>
      <c r="B306" s="5" t="s">
        <v>631</v>
      </c>
      <c r="C306" s="2" t="s">
        <v>19</v>
      </c>
      <c r="D306" s="1" t="s">
        <v>11</v>
      </c>
      <c r="E306" s="7">
        <v>1</v>
      </c>
      <c r="F306" s="12">
        <v>130</v>
      </c>
      <c r="G306" s="7">
        <v>5</v>
      </c>
      <c r="H306" s="10">
        <v>125</v>
      </c>
      <c r="I306" s="3">
        <v>45035</v>
      </c>
      <c r="J306" s="3" t="s">
        <v>2310</v>
      </c>
      <c r="K306" s="8">
        <v>3</v>
      </c>
    </row>
    <row r="307" spans="1:11" x14ac:dyDescent="0.25">
      <c r="A307" s="2" t="s">
        <v>632</v>
      </c>
      <c r="B307" s="5" t="s">
        <v>633</v>
      </c>
      <c r="C307" s="2" t="s">
        <v>32</v>
      </c>
      <c r="D307" s="1" t="s">
        <v>11</v>
      </c>
      <c r="E307" s="7">
        <v>1</v>
      </c>
      <c r="F307" s="12">
        <v>135</v>
      </c>
      <c r="G307" s="7">
        <v>0</v>
      </c>
      <c r="H307" s="10">
        <v>135</v>
      </c>
      <c r="I307" s="3">
        <v>45035</v>
      </c>
      <c r="J307" s="3" t="s">
        <v>2312</v>
      </c>
      <c r="K307" s="8">
        <v>4</v>
      </c>
    </row>
    <row r="308" spans="1:11" x14ac:dyDescent="0.25">
      <c r="A308" s="2" t="s">
        <v>634</v>
      </c>
      <c r="B308" s="5" t="s">
        <v>635</v>
      </c>
      <c r="C308" s="2" t="s">
        <v>19</v>
      </c>
      <c r="D308" s="1" t="s">
        <v>11</v>
      </c>
      <c r="E308" s="7">
        <v>1</v>
      </c>
      <c r="F308" s="12">
        <v>130</v>
      </c>
      <c r="G308" s="7">
        <v>5</v>
      </c>
      <c r="H308" s="10">
        <v>125</v>
      </c>
      <c r="I308" s="3">
        <v>45035</v>
      </c>
      <c r="J308" s="3" t="s">
        <v>2310</v>
      </c>
      <c r="K308" s="8">
        <v>3</v>
      </c>
    </row>
    <row r="309" spans="1:11" x14ac:dyDescent="0.25">
      <c r="A309" s="2" t="s">
        <v>636</v>
      </c>
      <c r="B309" s="5" t="s">
        <v>637</v>
      </c>
      <c r="C309" s="2" t="s">
        <v>32</v>
      </c>
      <c r="D309" s="1" t="s">
        <v>11</v>
      </c>
      <c r="E309" s="7">
        <v>1</v>
      </c>
      <c r="F309" s="12">
        <v>135</v>
      </c>
      <c r="G309" s="7">
        <v>0</v>
      </c>
      <c r="H309" s="10">
        <v>135</v>
      </c>
      <c r="I309" s="3">
        <v>45035</v>
      </c>
      <c r="J309" s="3" t="s">
        <v>2312</v>
      </c>
      <c r="K309" s="8">
        <v>1</v>
      </c>
    </row>
    <row r="310" spans="1:11" x14ac:dyDescent="0.25">
      <c r="A310" s="2" t="s">
        <v>638</v>
      </c>
      <c r="B310" s="5" t="s">
        <v>639</v>
      </c>
      <c r="C310" s="2" t="s">
        <v>167</v>
      </c>
      <c r="D310" s="1" t="s">
        <v>11</v>
      </c>
      <c r="E310" s="7">
        <v>2</v>
      </c>
      <c r="F310" s="12">
        <v>210</v>
      </c>
      <c r="G310" s="7">
        <v>10</v>
      </c>
      <c r="H310" s="10">
        <v>410</v>
      </c>
      <c r="I310" s="3">
        <v>45036</v>
      </c>
      <c r="J310" s="3" t="s">
        <v>2317</v>
      </c>
      <c r="K310" s="8">
        <v>3</v>
      </c>
    </row>
    <row r="311" spans="1:11" x14ac:dyDescent="0.25">
      <c r="A311" s="2" t="s">
        <v>640</v>
      </c>
      <c r="B311" s="5" t="s">
        <v>641</v>
      </c>
      <c r="C311" s="2" t="s">
        <v>167</v>
      </c>
      <c r="D311" s="1" t="s">
        <v>11</v>
      </c>
      <c r="E311" s="7">
        <v>2</v>
      </c>
      <c r="F311" s="12">
        <v>210</v>
      </c>
      <c r="G311" s="7">
        <v>10</v>
      </c>
      <c r="H311" s="10">
        <v>410</v>
      </c>
      <c r="I311" s="3">
        <v>45036</v>
      </c>
      <c r="J311" s="3" t="s">
        <v>2317</v>
      </c>
      <c r="K311" s="8">
        <v>3</v>
      </c>
    </row>
    <row r="312" spans="1:11" x14ac:dyDescent="0.25">
      <c r="A312" s="2" t="s">
        <v>642</v>
      </c>
      <c r="B312" s="5" t="s">
        <v>643</v>
      </c>
      <c r="C312" s="2" t="s">
        <v>167</v>
      </c>
      <c r="D312" s="1" t="s">
        <v>11</v>
      </c>
      <c r="E312" s="7">
        <v>2</v>
      </c>
      <c r="F312" s="12">
        <v>210</v>
      </c>
      <c r="G312" s="7">
        <v>10</v>
      </c>
      <c r="H312" s="10">
        <v>410</v>
      </c>
      <c r="I312" s="3">
        <v>45036</v>
      </c>
      <c r="J312" s="3" t="s">
        <v>2317</v>
      </c>
      <c r="K312" s="8">
        <v>3</v>
      </c>
    </row>
    <row r="313" spans="1:11" x14ac:dyDescent="0.25">
      <c r="A313" s="2" t="s">
        <v>644</v>
      </c>
      <c r="B313" s="5" t="s">
        <v>645</v>
      </c>
      <c r="C313" s="2" t="s">
        <v>93</v>
      </c>
      <c r="D313" s="1" t="s">
        <v>11</v>
      </c>
      <c r="E313" s="7">
        <v>1</v>
      </c>
      <c r="F313" s="12">
        <v>85</v>
      </c>
      <c r="G313" s="7">
        <v>10</v>
      </c>
      <c r="H313" s="10">
        <v>75</v>
      </c>
      <c r="I313" s="3">
        <v>45038</v>
      </c>
      <c r="J313" s="3" t="s">
        <v>2319</v>
      </c>
      <c r="K313" s="8">
        <v>1</v>
      </c>
    </row>
    <row r="314" spans="1:11" x14ac:dyDescent="0.25">
      <c r="A314" s="2" t="s">
        <v>646</v>
      </c>
      <c r="B314" s="5" t="s">
        <v>647</v>
      </c>
      <c r="C314" s="2" t="s">
        <v>317</v>
      </c>
      <c r="D314" s="1" t="s">
        <v>137</v>
      </c>
      <c r="E314" s="7">
        <v>1</v>
      </c>
      <c r="F314" s="12">
        <v>215</v>
      </c>
      <c r="G314" s="7">
        <v>5</v>
      </c>
      <c r="H314" s="10">
        <v>210</v>
      </c>
      <c r="I314" s="3">
        <v>45038</v>
      </c>
      <c r="J314" s="3" t="s">
        <v>2320</v>
      </c>
      <c r="K314" s="8">
        <v>1</v>
      </c>
    </row>
    <row r="315" spans="1:11" x14ac:dyDescent="0.25">
      <c r="A315" s="2" t="s">
        <v>648</v>
      </c>
      <c r="B315" s="5" t="s">
        <v>649</v>
      </c>
      <c r="C315" s="2" t="s">
        <v>317</v>
      </c>
      <c r="D315" s="1" t="s">
        <v>137</v>
      </c>
      <c r="E315" s="7">
        <v>1</v>
      </c>
      <c r="F315" s="12">
        <v>215</v>
      </c>
      <c r="G315" s="7">
        <v>0</v>
      </c>
      <c r="H315" s="10">
        <v>215</v>
      </c>
      <c r="I315" s="3">
        <v>45038</v>
      </c>
      <c r="J315" s="3" t="s">
        <v>2321</v>
      </c>
      <c r="K315" s="8">
        <v>3</v>
      </c>
    </row>
    <row r="316" spans="1:11" x14ac:dyDescent="0.25">
      <c r="A316" s="2" t="s">
        <v>650</v>
      </c>
      <c r="B316" s="5" t="s">
        <v>651</v>
      </c>
      <c r="C316" s="2" t="s">
        <v>93</v>
      </c>
      <c r="D316" s="1" t="s">
        <v>11</v>
      </c>
      <c r="E316" s="7">
        <v>1</v>
      </c>
      <c r="F316" s="12">
        <v>85</v>
      </c>
      <c r="G316" s="7">
        <v>10</v>
      </c>
      <c r="H316" s="10">
        <v>75</v>
      </c>
      <c r="I316" s="3">
        <v>45038</v>
      </c>
      <c r="J316" s="3" t="s">
        <v>2319</v>
      </c>
      <c r="K316" s="8">
        <v>1</v>
      </c>
    </row>
    <row r="317" spans="1:11" x14ac:dyDescent="0.25">
      <c r="A317" s="2" t="s">
        <v>652</v>
      </c>
      <c r="B317" s="5" t="s">
        <v>653</v>
      </c>
      <c r="C317" s="2" t="s">
        <v>317</v>
      </c>
      <c r="D317" s="1" t="s">
        <v>137</v>
      </c>
      <c r="E317" s="7">
        <v>1</v>
      </c>
      <c r="F317" s="12">
        <v>215</v>
      </c>
      <c r="G317" s="7">
        <v>5</v>
      </c>
      <c r="H317" s="10">
        <v>210</v>
      </c>
      <c r="I317" s="3">
        <v>45038</v>
      </c>
      <c r="J317" s="3" t="s">
        <v>2320</v>
      </c>
      <c r="K317" s="8">
        <v>3</v>
      </c>
    </row>
    <row r="318" spans="1:11" x14ac:dyDescent="0.25">
      <c r="A318" s="2" t="s">
        <v>654</v>
      </c>
      <c r="B318" s="5" t="s">
        <v>655</v>
      </c>
      <c r="C318" s="2" t="s">
        <v>317</v>
      </c>
      <c r="D318" s="1" t="s">
        <v>137</v>
      </c>
      <c r="E318" s="7">
        <v>1</v>
      </c>
      <c r="F318" s="12">
        <v>215</v>
      </c>
      <c r="G318" s="7">
        <v>0</v>
      </c>
      <c r="H318" s="10">
        <v>215</v>
      </c>
      <c r="I318" s="3">
        <v>45038</v>
      </c>
      <c r="J318" s="3" t="s">
        <v>2321</v>
      </c>
      <c r="K318" s="8">
        <v>4</v>
      </c>
    </row>
    <row r="319" spans="1:11" x14ac:dyDescent="0.25">
      <c r="A319" s="2" t="s">
        <v>656</v>
      </c>
      <c r="B319" s="5" t="s">
        <v>657</v>
      </c>
      <c r="C319" s="2" t="s">
        <v>19</v>
      </c>
      <c r="D319" s="1" t="s">
        <v>11</v>
      </c>
      <c r="E319" s="7">
        <v>3</v>
      </c>
      <c r="F319" s="12">
        <v>130</v>
      </c>
      <c r="G319" s="7">
        <v>10</v>
      </c>
      <c r="H319" s="10">
        <v>380</v>
      </c>
      <c r="I319" s="3">
        <v>45039</v>
      </c>
      <c r="J319" s="3" t="s">
        <v>2320</v>
      </c>
      <c r="K319" s="8">
        <v>2</v>
      </c>
    </row>
    <row r="320" spans="1:11" x14ac:dyDescent="0.25">
      <c r="A320" s="2" t="s">
        <v>658</v>
      </c>
      <c r="B320" s="5" t="s">
        <v>659</v>
      </c>
      <c r="C320" s="2" t="s">
        <v>19</v>
      </c>
      <c r="D320" s="1" t="s">
        <v>11</v>
      </c>
      <c r="E320" s="7">
        <v>3</v>
      </c>
      <c r="F320" s="12">
        <v>130</v>
      </c>
      <c r="G320" s="7">
        <v>10</v>
      </c>
      <c r="H320" s="10">
        <v>380</v>
      </c>
      <c r="I320" s="3">
        <v>45039</v>
      </c>
      <c r="J320" s="3" t="s">
        <v>2320</v>
      </c>
      <c r="K320" s="8">
        <v>4</v>
      </c>
    </row>
    <row r="321" spans="1:11" x14ac:dyDescent="0.25">
      <c r="A321" s="2" t="s">
        <v>660</v>
      </c>
      <c r="B321" s="5" t="s">
        <v>661</v>
      </c>
      <c r="C321" s="2" t="s">
        <v>19</v>
      </c>
      <c r="D321" s="1" t="s">
        <v>11</v>
      </c>
      <c r="E321" s="7">
        <v>3</v>
      </c>
      <c r="F321" s="12">
        <v>130</v>
      </c>
      <c r="G321" s="7">
        <v>10</v>
      </c>
      <c r="H321" s="10">
        <v>380</v>
      </c>
      <c r="I321" s="3">
        <v>45039</v>
      </c>
      <c r="J321" s="3" t="s">
        <v>2320</v>
      </c>
      <c r="K321" s="8">
        <v>4</v>
      </c>
    </row>
    <row r="322" spans="1:11" x14ac:dyDescent="0.25">
      <c r="A322" s="2" t="s">
        <v>662</v>
      </c>
      <c r="B322" s="5" t="s">
        <v>663</v>
      </c>
      <c r="C322" s="2" t="s">
        <v>232</v>
      </c>
      <c r="D322" s="1" t="s">
        <v>137</v>
      </c>
      <c r="E322" s="7">
        <v>4</v>
      </c>
      <c r="F322" s="12">
        <v>200</v>
      </c>
      <c r="G322" s="7">
        <v>0</v>
      </c>
      <c r="H322" s="10">
        <v>800</v>
      </c>
      <c r="I322" s="3">
        <v>45040</v>
      </c>
      <c r="J322" s="3" t="s">
        <v>2319</v>
      </c>
      <c r="K322" s="8">
        <v>4</v>
      </c>
    </row>
    <row r="323" spans="1:11" x14ac:dyDescent="0.25">
      <c r="A323" s="2" t="s">
        <v>664</v>
      </c>
      <c r="B323" s="5" t="s">
        <v>665</v>
      </c>
      <c r="C323" s="2" t="s">
        <v>19</v>
      </c>
      <c r="D323" s="1" t="s">
        <v>11</v>
      </c>
      <c r="E323" s="7">
        <v>2</v>
      </c>
      <c r="F323" s="12">
        <v>130</v>
      </c>
      <c r="G323" s="7">
        <v>0</v>
      </c>
      <c r="H323" s="10">
        <v>260</v>
      </c>
      <c r="I323" s="3">
        <v>45040</v>
      </c>
      <c r="J323" s="3" t="s">
        <v>2324</v>
      </c>
      <c r="K323" s="8">
        <v>1</v>
      </c>
    </row>
    <row r="324" spans="1:11" x14ac:dyDescent="0.25">
      <c r="A324" s="2" t="s">
        <v>666</v>
      </c>
      <c r="B324" s="5" t="s">
        <v>667</v>
      </c>
      <c r="C324" s="2" t="s">
        <v>19</v>
      </c>
      <c r="D324" s="1" t="s">
        <v>11</v>
      </c>
      <c r="E324" s="7">
        <v>2</v>
      </c>
      <c r="F324" s="12">
        <v>130</v>
      </c>
      <c r="G324" s="7">
        <v>0</v>
      </c>
      <c r="H324" s="10">
        <v>260</v>
      </c>
      <c r="I324" s="3">
        <v>45040</v>
      </c>
      <c r="J324" s="3" t="s">
        <v>2320</v>
      </c>
      <c r="K324" s="8">
        <v>4</v>
      </c>
    </row>
    <row r="325" spans="1:11" x14ac:dyDescent="0.25">
      <c r="A325" s="2" t="s">
        <v>668</v>
      </c>
      <c r="B325" s="5" t="s">
        <v>669</v>
      </c>
      <c r="C325" s="2" t="s">
        <v>232</v>
      </c>
      <c r="D325" s="1" t="s">
        <v>137</v>
      </c>
      <c r="E325" s="7">
        <v>4</v>
      </c>
      <c r="F325" s="12">
        <v>200</v>
      </c>
      <c r="G325" s="7">
        <v>0</v>
      </c>
      <c r="H325" s="10">
        <v>800</v>
      </c>
      <c r="I325" s="3">
        <v>45040</v>
      </c>
      <c r="J325" s="3" t="s">
        <v>2319</v>
      </c>
      <c r="K325" s="8">
        <v>2</v>
      </c>
    </row>
    <row r="326" spans="1:11" x14ac:dyDescent="0.25">
      <c r="A326" s="2" t="s">
        <v>670</v>
      </c>
      <c r="B326" s="5" t="s">
        <v>671</v>
      </c>
      <c r="C326" s="2" t="s">
        <v>19</v>
      </c>
      <c r="D326" s="1" t="s">
        <v>11</v>
      </c>
      <c r="E326" s="7">
        <v>2</v>
      </c>
      <c r="F326" s="12">
        <v>130</v>
      </c>
      <c r="G326" s="7">
        <v>0</v>
      </c>
      <c r="H326" s="10">
        <v>260</v>
      </c>
      <c r="I326" s="3">
        <v>45040</v>
      </c>
      <c r="J326" s="3" t="s">
        <v>2324</v>
      </c>
      <c r="K326" s="8">
        <v>1</v>
      </c>
    </row>
    <row r="327" spans="1:11" x14ac:dyDescent="0.25">
      <c r="A327" s="2" t="s">
        <v>672</v>
      </c>
      <c r="B327" s="5" t="s">
        <v>673</v>
      </c>
      <c r="C327" s="2" t="s">
        <v>19</v>
      </c>
      <c r="D327" s="1" t="s">
        <v>11</v>
      </c>
      <c r="E327" s="7">
        <v>2</v>
      </c>
      <c r="F327" s="12">
        <v>130</v>
      </c>
      <c r="G327" s="7">
        <v>0</v>
      </c>
      <c r="H327" s="10">
        <v>260</v>
      </c>
      <c r="I327" s="3">
        <v>45040</v>
      </c>
      <c r="J327" s="3" t="s">
        <v>2320</v>
      </c>
      <c r="K327" s="8">
        <v>1</v>
      </c>
    </row>
    <row r="328" spans="1:11" x14ac:dyDescent="0.25">
      <c r="A328" s="2" t="s">
        <v>674</v>
      </c>
      <c r="B328" s="5" t="s">
        <v>675</v>
      </c>
      <c r="C328" s="2" t="s">
        <v>232</v>
      </c>
      <c r="D328" s="1" t="s">
        <v>137</v>
      </c>
      <c r="E328" s="7">
        <v>4</v>
      </c>
      <c r="F328" s="12">
        <v>200</v>
      </c>
      <c r="G328" s="7">
        <v>0</v>
      </c>
      <c r="H328" s="10">
        <v>800</v>
      </c>
      <c r="I328" s="3">
        <v>45040</v>
      </c>
      <c r="J328" s="3" t="s">
        <v>2319</v>
      </c>
      <c r="K328" s="8">
        <v>2</v>
      </c>
    </row>
    <row r="329" spans="1:11" x14ac:dyDescent="0.25">
      <c r="A329" s="2" t="s">
        <v>676</v>
      </c>
      <c r="B329" s="5" t="s">
        <v>677</v>
      </c>
      <c r="C329" s="2" t="s">
        <v>232</v>
      </c>
      <c r="D329" s="1" t="s">
        <v>137</v>
      </c>
      <c r="E329" s="7">
        <v>1</v>
      </c>
      <c r="F329" s="12">
        <v>200</v>
      </c>
      <c r="G329" s="7">
        <v>0</v>
      </c>
      <c r="H329" s="10">
        <v>200</v>
      </c>
      <c r="I329" s="3">
        <v>45041</v>
      </c>
      <c r="J329" s="3" t="s">
        <v>2326</v>
      </c>
      <c r="K329" s="8">
        <v>4</v>
      </c>
    </row>
    <row r="330" spans="1:11" x14ac:dyDescent="0.25">
      <c r="A330" s="2" t="s">
        <v>678</v>
      </c>
      <c r="B330" s="5" t="s">
        <v>679</v>
      </c>
      <c r="C330" s="2" t="s">
        <v>93</v>
      </c>
      <c r="D330" s="1" t="s">
        <v>11</v>
      </c>
      <c r="E330" s="7">
        <v>2</v>
      </c>
      <c r="F330" s="12">
        <v>85</v>
      </c>
      <c r="G330" s="7">
        <v>0</v>
      </c>
      <c r="H330" s="10">
        <v>170</v>
      </c>
      <c r="I330" s="3">
        <v>45041</v>
      </c>
      <c r="J330" s="3" t="s">
        <v>2320</v>
      </c>
      <c r="K330" s="8">
        <v>2</v>
      </c>
    </row>
    <row r="331" spans="1:11" x14ac:dyDescent="0.25">
      <c r="A331" s="2" t="s">
        <v>680</v>
      </c>
      <c r="B331" s="5" t="s">
        <v>681</v>
      </c>
      <c r="C331" s="2" t="s">
        <v>232</v>
      </c>
      <c r="D331" s="1" t="s">
        <v>137</v>
      </c>
      <c r="E331" s="7">
        <v>1</v>
      </c>
      <c r="F331" s="12">
        <v>200</v>
      </c>
      <c r="G331" s="7">
        <v>0</v>
      </c>
      <c r="H331" s="10">
        <v>200</v>
      </c>
      <c r="I331" s="3">
        <v>45041</v>
      </c>
      <c r="J331" s="3" t="s">
        <v>2326</v>
      </c>
      <c r="K331" s="8">
        <v>2</v>
      </c>
    </row>
    <row r="332" spans="1:11" x14ac:dyDescent="0.25">
      <c r="A332" s="2" t="s">
        <v>682</v>
      </c>
      <c r="B332" s="5" t="s">
        <v>683</v>
      </c>
      <c r="C332" s="2" t="s">
        <v>93</v>
      </c>
      <c r="D332" s="1" t="s">
        <v>11</v>
      </c>
      <c r="E332" s="7">
        <v>2</v>
      </c>
      <c r="F332" s="12">
        <v>85</v>
      </c>
      <c r="G332" s="7">
        <v>0</v>
      </c>
      <c r="H332" s="10">
        <v>170</v>
      </c>
      <c r="I332" s="3">
        <v>45041</v>
      </c>
      <c r="J332" s="3" t="s">
        <v>2320</v>
      </c>
      <c r="K332" s="8">
        <v>3</v>
      </c>
    </row>
    <row r="333" spans="1:11" x14ac:dyDescent="0.25">
      <c r="A333" s="2" t="s">
        <v>684</v>
      </c>
      <c r="B333" s="5" t="s">
        <v>685</v>
      </c>
      <c r="C333" s="2" t="s">
        <v>93</v>
      </c>
      <c r="D333" s="1" t="s">
        <v>11</v>
      </c>
      <c r="E333" s="7">
        <v>2</v>
      </c>
      <c r="F333" s="12">
        <v>85</v>
      </c>
      <c r="G333" s="7">
        <v>0</v>
      </c>
      <c r="H333" s="10">
        <v>170</v>
      </c>
      <c r="I333" s="3">
        <v>45041</v>
      </c>
      <c r="J333" s="3" t="s">
        <v>2320</v>
      </c>
      <c r="K333" s="8">
        <v>1</v>
      </c>
    </row>
    <row r="334" spans="1:11" x14ac:dyDescent="0.25">
      <c r="A334" s="2" t="s">
        <v>686</v>
      </c>
      <c r="B334" s="5" t="s">
        <v>687</v>
      </c>
      <c r="C334" s="2" t="s">
        <v>32</v>
      </c>
      <c r="D334" s="1" t="s">
        <v>11</v>
      </c>
      <c r="E334" s="7">
        <v>1</v>
      </c>
      <c r="F334" s="12">
        <v>135</v>
      </c>
      <c r="G334" s="7">
        <v>10</v>
      </c>
      <c r="H334" s="10">
        <v>125</v>
      </c>
      <c r="I334" s="3">
        <v>45042</v>
      </c>
      <c r="J334" s="3" t="s">
        <v>2319</v>
      </c>
      <c r="K334" s="8">
        <v>1</v>
      </c>
    </row>
    <row r="335" spans="1:11" x14ac:dyDescent="0.25">
      <c r="A335" s="2" t="s">
        <v>688</v>
      </c>
      <c r="B335" s="5" t="s">
        <v>689</v>
      </c>
      <c r="C335" s="2" t="s">
        <v>70</v>
      </c>
      <c r="D335" s="1" t="s">
        <v>11</v>
      </c>
      <c r="E335" s="7">
        <v>1</v>
      </c>
      <c r="F335" s="12">
        <v>125</v>
      </c>
      <c r="G335" s="7">
        <v>5</v>
      </c>
      <c r="H335" s="10">
        <v>120</v>
      </c>
      <c r="I335" s="3">
        <v>45042</v>
      </c>
      <c r="J335" s="3" t="s">
        <v>2328</v>
      </c>
      <c r="K335" s="8">
        <v>3</v>
      </c>
    </row>
    <row r="336" spans="1:11" x14ac:dyDescent="0.25">
      <c r="A336" s="2" t="s">
        <v>690</v>
      </c>
      <c r="B336" s="5" t="s">
        <v>691</v>
      </c>
      <c r="C336" s="2" t="s">
        <v>317</v>
      </c>
      <c r="D336" s="1" t="s">
        <v>137</v>
      </c>
      <c r="E336" s="7">
        <v>1</v>
      </c>
      <c r="F336" s="12">
        <v>215</v>
      </c>
      <c r="G336" s="7">
        <v>10</v>
      </c>
      <c r="H336" s="10">
        <v>205</v>
      </c>
      <c r="I336" s="3">
        <v>45042</v>
      </c>
      <c r="J336" s="3" t="s">
        <v>2326</v>
      </c>
      <c r="K336" s="8">
        <v>1</v>
      </c>
    </row>
    <row r="337" spans="1:11" x14ac:dyDescent="0.25">
      <c r="A337" s="2" t="s">
        <v>692</v>
      </c>
      <c r="B337" s="5" t="s">
        <v>693</v>
      </c>
      <c r="C337" s="2" t="s">
        <v>136</v>
      </c>
      <c r="D337" s="1" t="s">
        <v>137</v>
      </c>
      <c r="E337" s="7">
        <v>2</v>
      </c>
      <c r="F337" s="12">
        <v>220</v>
      </c>
      <c r="G337" s="7">
        <v>10</v>
      </c>
      <c r="H337" s="10">
        <v>430</v>
      </c>
      <c r="I337" s="3">
        <v>45042</v>
      </c>
      <c r="J337" s="3" t="s">
        <v>2326</v>
      </c>
      <c r="K337" s="8">
        <v>3</v>
      </c>
    </row>
    <row r="338" spans="1:11" x14ac:dyDescent="0.25">
      <c r="A338" s="2" t="s">
        <v>694</v>
      </c>
      <c r="B338" s="5" t="s">
        <v>695</v>
      </c>
      <c r="C338" s="2" t="s">
        <v>32</v>
      </c>
      <c r="D338" s="1" t="s">
        <v>11</v>
      </c>
      <c r="E338" s="7">
        <v>1</v>
      </c>
      <c r="F338" s="12">
        <v>135</v>
      </c>
      <c r="G338" s="7">
        <v>10</v>
      </c>
      <c r="H338" s="10">
        <v>125</v>
      </c>
      <c r="I338" s="3">
        <v>45042</v>
      </c>
      <c r="J338" s="3" t="s">
        <v>2319</v>
      </c>
      <c r="K338" s="8">
        <v>1</v>
      </c>
    </row>
    <row r="339" spans="1:11" x14ac:dyDescent="0.25">
      <c r="A339" s="2" t="s">
        <v>696</v>
      </c>
      <c r="B339" s="5" t="s">
        <v>697</v>
      </c>
      <c r="C339" s="2" t="s">
        <v>70</v>
      </c>
      <c r="D339" s="1" t="s">
        <v>11</v>
      </c>
      <c r="E339" s="7">
        <v>1</v>
      </c>
      <c r="F339" s="12">
        <v>125</v>
      </c>
      <c r="G339" s="7">
        <v>5</v>
      </c>
      <c r="H339" s="10">
        <v>120</v>
      </c>
      <c r="I339" s="3">
        <v>45042</v>
      </c>
      <c r="J339" s="3" t="s">
        <v>2328</v>
      </c>
      <c r="K339" s="8">
        <v>3</v>
      </c>
    </row>
    <row r="340" spans="1:11" x14ac:dyDescent="0.25">
      <c r="A340" s="2" t="s">
        <v>698</v>
      </c>
      <c r="B340" s="5" t="s">
        <v>699</v>
      </c>
      <c r="C340" s="2" t="s">
        <v>317</v>
      </c>
      <c r="D340" s="1" t="s">
        <v>137</v>
      </c>
      <c r="E340" s="7">
        <v>1</v>
      </c>
      <c r="F340" s="12">
        <v>215</v>
      </c>
      <c r="G340" s="7">
        <v>10</v>
      </c>
      <c r="H340" s="10">
        <v>205</v>
      </c>
      <c r="I340" s="3">
        <v>45042</v>
      </c>
      <c r="J340" s="3" t="s">
        <v>2326</v>
      </c>
      <c r="K340" s="8">
        <v>3</v>
      </c>
    </row>
    <row r="341" spans="1:11" x14ac:dyDescent="0.25">
      <c r="A341" s="2" t="s">
        <v>700</v>
      </c>
      <c r="B341" s="5" t="s">
        <v>701</v>
      </c>
      <c r="C341" s="2" t="s">
        <v>136</v>
      </c>
      <c r="D341" s="1" t="s">
        <v>137</v>
      </c>
      <c r="E341" s="7">
        <v>2</v>
      </c>
      <c r="F341" s="12">
        <v>220</v>
      </c>
      <c r="G341" s="7">
        <v>10</v>
      </c>
      <c r="H341" s="10">
        <v>430</v>
      </c>
      <c r="I341" s="3">
        <v>45042</v>
      </c>
      <c r="J341" s="3" t="s">
        <v>2326</v>
      </c>
      <c r="K341" s="8">
        <v>4</v>
      </c>
    </row>
    <row r="342" spans="1:11" x14ac:dyDescent="0.25">
      <c r="A342" s="2" t="s">
        <v>702</v>
      </c>
      <c r="B342" s="5" t="s">
        <v>703</v>
      </c>
      <c r="C342" s="2" t="s">
        <v>136</v>
      </c>
      <c r="D342" s="1" t="s">
        <v>137</v>
      </c>
      <c r="E342" s="7">
        <v>2</v>
      </c>
      <c r="F342" s="12">
        <v>220</v>
      </c>
      <c r="G342" s="7">
        <v>10</v>
      </c>
      <c r="H342" s="10">
        <v>430</v>
      </c>
      <c r="I342" s="3">
        <v>45042</v>
      </c>
      <c r="J342" s="3" t="s">
        <v>2326</v>
      </c>
      <c r="K342" s="8">
        <v>1</v>
      </c>
    </row>
    <row r="343" spans="1:11" x14ac:dyDescent="0.25">
      <c r="A343" s="2" t="s">
        <v>704</v>
      </c>
      <c r="B343" s="5" t="s">
        <v>705</v>
      </c>
      <c r="C343" s="2" t="s">
        <v>70</v>
      </c>
      <c r="D343" s="1" t="s">
        <v>11</v>
      </c>
      <c r="E343" s="7">
        <v>2</v>
      </c>
      <c r="F343" s="12">
        <v>125</v>
      </c>
      <c r="G343" s="7">
        <v>0</v>
      </c>
      <c r="H343" s="10">
        <v>250</v>
      </c>
      <c r="I343" s="3">
        <v>45043</v>
      </c>
      <c r="J343" s="3" t="s">
        <v>2328</v>
      </c>
      <c r="K343" s="8">
        <v>2</v>
      </c>
    </row>
    <row r="344" spans="1:11" x14ac:dyDescent="0.25">
      <c r="A344" s="2" t="s">
        <v>706</v>
      </c>
      <c r="B344" s="5" t="s">
        <v>707</v>
      </c>
      <c r="C344" s="2" t="s">
        <v>70</v>
      </c>
      <c r="D344" s="1" t="s">
        <v>11</v>
      </c>
      <c r="E344" s="7">
        <v>2</v>
      </c>
      <c r="F344" s="12">
        <v>125</v>
      </c>
      <c r="G344" s="7">
        <v>0</v>
      </c>
      <c r="H344" s="10">
        <v>250</v>
      </c>
      <c r="I344" s="3">
        <v>45043</v>
      </c>
      <c r="J344" s="3" t="s">
        <v>2328</v>
      </c>
      <c r="K344" s="8">
        <v>4</v>
      </c>
    </row>
    <row r="345" spans="1:11" x14ac:dyDescent="0.25">
      <c r="A345" s="2" t="s">
        <v>708</v>
      </c>
      <c r="B345" s="5" t="s">
        <v>709</v>
      </c>
      <c r="C345" s="2" t="s">
        <v>19</v>
      </c>
      <c r="D345" s="1" t="s">
        <v>11</v>
      </c>
      <c r="E345" s="7">
        <v>3</v>
      </c>
      <c r="F345" s="12">
        <v>130</v>
      </c>
      <c r="G345" s="7">
        <v>0</v>
      </c>
      <c r="H345" s="10">
        <v>390</v>
      </c>
      <c r="I345" s="3">
        <v>45044</v>
      </c>
      <c r="J345" s="3" t="s">
        <v>2331</v>
      </c>
      <c r="K345" s="8">
        <v>3</v>
      </c>
    </row>
    <row r="346" spans="1:11" x14ac:dyDescent="0.25">
      <c r="A346" s="2" t="s">
        <v>710</v>
      </c>
      <c r="B346" s="5" t="s">
        <v>711</v>
      </c>
      <c r="C346" s="2" t="s">
        <v>32</v>
      </c>
      <c r="D346" s="1" t="s">
        <v>11</v>
      </c>
      <c r="E346" s="7">
        <v>1</v>
      </c>
      <c r="F346" s="12">
        <v>135</v>
      </c>
      <c r="G346" s="7">
        <v>0</v>
      </c>
      <c r="H346" s="10">
        <v>135</v>
      </c>
      <c r="I346" s="3">
        <v>45044</v>
      </c>
      <c r="J346" s="3" t="s">
        <v>2328</v>
      </c>
      <c r="K346" s="8">
        <v>4</v>
      </c>
    </row>
    <row r="347" spans="1:11" x14ac:dyDescent="0.25">
      <c r="A347" s="2" t="s">
        <v>712</v>
      </c>
      <c r="B347" s="5" t="s">
        <v>713</v>
      </c>
      <c r="C347" s="2" t="s">
        <v>19</v>
      </c>
      <c r="D347" s="1" t="s">
        <v>11</v>
      </c>
      <c r="E347" s="7">
        <v>1</v>
      </c>
      <c r="F347" s="12">
        <v>130</v>
      </c>
      <c r="G347" s="7">
        <v>0</v>
      </c>
      <c r="H347" s="10">
        <v>130</v>
      </c>
      <c r="I347" s="3">
        <v>45044</v>
      </c>
      <c r="J347" s="3" t="s">
        <v>2332</v>
      </c>
      <c r="K347" s="8">
        <v>4</v>
      </c>
    </row>
    <row r="348" spans="1:11" x14ac:dyDescent="0.25">
      <c r="A348" s="2" t="s">
        <v>714</v>
      </c>
      <c r="B348" s="5" t="s">
        <v>715</v>
      </c>
      <c r="C348" s="2" t="s">
        <v>19</v>
      </c>
      <c r="D348" s="1" t="s">
        <v>11</v>
      </c>
      <c r="E348" s="7">
        <v>1</v>
      </c>
      <c r="F348" s="12">
        <v>130</v>
      </c>
      <c r="G348" s="7">
        <v>0</v>
      </c>
      <c r="H348" s="10">
        <v>130</v>
      </c>
      <c r="I348" s="3">
        <v>45044</v>
      </c>
      <c r="J348" s="3" t="s">
        <v>2332</v>
      </c>
      <c r="K348" s="8">
        <v>1</v>
      </c>
    </row>
    <row r="349" spans="1:11" x14ac:dyDescent="0.25">
      <c r="A349" s="2" t="s">
        <v>716</v>
      </c>
      <c r="B349" s="5" t="s">
        <v>717</v>
      </c>
      <c r="C349" s="2" t="s">
        <v>19</v>
      </c>
      <c r="D349" s="1" t="s">
        <v>11</v>
      </c>
      <c r="E349" s="7">
        <v>3</v>
      </c>
      <c r="F349" s="12">
        <v>130</v>
      </c>
      <c r="G349" s="7">
        <v>0</v>
      </c>
      <c r="H349" s="10">
        <v>390</v>
      </c>
      <c r="I349" s="3">
        <v>45044</v>
      </c>
      <c r="J349" s="3" t="s">
        <v>2331</v>
      </c>
      <c r="K349" s="8">
        <v>4</v>
      </c>
    </row>
    <row r="350" spans="1:11" x14ac:dyDescent="0.25">
      <c r="A350" s="2" t="s">
        <v>718</v>
      </c>
      <c r="B350" s="5" t="s">
        <v>719</v>
      </c>
      <c r="C350" s="2" t="s">
        <v>32</v>
      </c>
      <c r="D350" s="1" t="s">
        <v>11</v>
      </c>
      <c r="E350" s="7">
        <v>1</v>
      </c>
      <c r="F350" s="12">
        <v>135</v>
      </c>
      <c r="G350" s="7">
        <v>0</v>
      </c>
      <c r="H350" s="10">
        <v>135</v>
      </c>
      <c r="I350" s="3">
        <v>45044</v>
      </c>
      <c r="J350" s="3" t="s">
        <v>2328</v>
      </c>
      <c r="K350" s="8">
        <v>1</v>
      </c>
    </row>
    <row r="351" spans="1:11" x14ac:dyDescent="0.25">
      <c r="A351" s="2" t="s">
        <v>720</v>
      </c>
      <c r="B351" s="5" t="s">
        <v>721</v>
      </c>
      <c r="C351" s="2" t="s">
        <v>19</v>
      </c>
      <c r="D351" s="1" t="s">
        <v>11</v>
      </c>
      <c r="E351" s="7">
        <v>1</v>
      </c>
      <c r="F351" s="12">
        <v>130</v>
      </c>
      <c r="G351" s="7">
        <v>0</v>
      </c>
      <c r="H351" s="10">
        <v>130</v>
      </c>
      <c r="I351" s="3">
        <v>45044</v>
      </c>
      <c r="J351" s="3" t="s">
        <v>2332</v>
      </c>
      <c r="K351" s="8">
        <v>1</v>
      </c>
    </row>
    <row r="352" spans="1:11" x14ac:dyDescent="0.25">
      <c r="A352" s="2" t="s">
        <v>722</v>
      </c>
      <c r="B352" s="5" t="s">
        <v>723</v>
      </c>
      <c r="C352" s="2" t="s">
        <v>19</v>
      </c>
      <c r="D352" s="1" t="s">
        <v>11</v>
      </c>
      <c r="E352" s="7">
        <v>1</v>
      </c>
      <c r="F352" s="12">
        <v>130</v>
      </c>
      <c r="G352" s="7">
        <v>0</v>
      </c>
      <c r="H352" s="10">
        <v>130</v>
      </c>
      <c r="I352" s="3">
        <v>45044</v>
      </c>
      <c r="J352" s="3" t="s">
        <v>2332</v>
      </c>
      <c r="K352" s="8">
        <v>4</v>
      </c>
    </row>
    <row r="353" spans="1:11" x14ac:dyDescent="0.25">
      <c r="A353" s="2" t="s">
        <v>724</v>
      </c>
      <c r="B353" s="5" t="s">
        <v>725</v>
      </c>
      <c r="C353" s="2" t="s">
        <v>19</v>
      </c>
      <c r="D353" s="1" t="s">
        <v>11</v>
      </c>
      <c r="E353" s="7">
        <v>1</v>
      </c>
      <c r="F353" s="12">
        <v>130</v>
      </c>
      <c r="G353" s="7">
        <v>0</v>
      </c>
      <c r="H353" s="10">
        <v>130</v>
      </c>
      <c r="I353" s="3">
        <v>45044</v>
      </c>
      <c r="J353" s="3" t="s">
        <v>2332</v>
      </c>
      <c r="K353" s="8">
        <v>4</v>
      </c>
    </row>
    <row r="354" spans="1:11" x14ac:dyDescent="0.25">
      <c r="A354" s="2" t="s">
        <v>726</v>
      </c>
      <c r="B354" s="5" t="s">
        <v>727</v>
      </c>
      <c r="C354" s="2" t="s">
        <v>19</v>
      </c>
      <c r="D354" s="1" t="s">
        <v>11</v>
      </c>
      <c r="E354" s="7">
        <v>2</v>
      </c>
      <c r="F354" s="12">
        <v>130</v>
      </c>
      <c r="G354" s="7">
        <v>0</v>
      </c>
      <c r="H354" s="10">
        <v>260</v>
      </c>
      <c r="I354" s="3">
        <v>45046</v>
      </c>
      <c r="J354" s="3" t="s">
        <v>2334</v>
      </c>
      <c r="K354" s="8">
        <v>2</v>
      </c>
    </row>
    <row r="355" spans="1:11" x14ac:dyDescent="0.25">
      <c r="A355" s="2" t="s">
        <v>728</v>
      </c>
      <c r="B355" s="5" t="s">
        <v>729</v>
      </c>
      <c r="C355" s="2" t="s">
        <v>47</v>
      </c>
      <c r="D355" s="1" t="s">
        <v>11</v>
      </c>
      <c r="E355" s="7">
        <v>1</v>
      </c>
      <c r="F355" s="12">
        <v>190</v>
      </c>
      <c r="G355" s="7">
        <v>5</v>
      </c>
      <c r="H355" s="10">
        <v>185</v>
      </c>
      <c r="I355" s="3">
        <v>45046</v>
      </c>
      <c r="J355" s="3" t="s">
        <v>2334</v>
      </c>
      <c r="K355" s="8">
        <v>4</v>
      </c>
    </row>
    <row r="356" spans="1:11" x14ac:dyDescent="0.25">
      <c r="A356" s="2" t="s">
        <v>730</v>
      </c>
      <c r="B356" s="5" t="s">
        <v>731</v>
      </c>
      <c r="C356" s="2" t="s">
        <v>19</v>
      </c>
      <c r="D356" s="1" t="s">
        <v>11</v>
      </c>
      <c r="E356" s="7">
        <v>2</v>
      </c>
      <c r="F356" s="12">
        <v>130</v>
      </c>
      <c r="G356" s="7">
        <v>0</v>
      </c>
      <c r="H356" s="10">
        <v>260</v>
      </c>
      <c r="I356" s="3">
        <v>45046</v>
      </c>
      <c r="J356" s="3" t="s">
        <v>2334</v>
      </c>
      <c r="K356" s="8">
        <v>1</v>
      </c>
    </row>
    <row r="357" spans="1:11" x14ac:dyDescent="0.25">
      <c r="A357" s="2" t="s">
        <v>732</v>
      </c>
      <c r="B357" s="5" t="s">
        <v>733</v>
      </c>
      <c r="C357" s="2" t="s">
        <v>47</v>
      </c>
      <c r="D357" s="1" t="s">
        <v>11</v>
      </c>
      <c r="E357" s="7">
        <v>1</v>
      </c>
      <c r="F357" s="12">
        <v>190</v>
      </c>
      <c r="G357" s="7">
        <v>5</v>
      </c>
      <c r="H357" s="10">
        <v>185</v>
      </c>
      <c r="I357" s="3">
        <v>45046</v>
      </c>
      <c r="J357" s="3" t="s">
        <v>2334</v>
      </c>
      <c r="K357" s="8">
        <v>2</v>
      </c>
    </row>
    <row r="358" spans="1:11" x14ac:dyDescent="0.25">
      <c r="A358" s="2" t="s">
        <v>734</v>
      </c>
      <c r="B358" s="5" t="s">
        <v>735</v>
      </c>
      <c r="C358" s="2" t="s">
        <v>32</v>
      </c>
      <c r="D358" s="1" t="s">
        <v>11</v>
      </c>
      <c r="E358" s="7">
        <v>1</v>
      </c>
      <c r="F358" s="12">
        <v>135</v>
      </c>
      <c r="G358" s="7">
        <v>5</v>
      </c>
      <c r="H358" s="10">
        <v>130</v>
      </c>
      <c r="I358" s="3">
        <v>44931</v>
      </c>
      <c r="J358" s="3" t="s">
        <v>2335</v>
      </c>
      <c r="K358" s="8">
        <v>2</v>
      </c>
    </row>
    <row r="359" spans="1:11" x14ac:dyDescent="0.25">
      <c r="A359" s="2" t="s">
        <v>736</v>
      </c>
      <c r="B359" s="5" t="s">
        <v>737</v>
      </c>
      <c r="C359" s="2" t="s">
        <v>19</v>
      </c>
      <c r="D359" s="1" t="s">
        <v>11</v>
      </c>
      <c r="E359" s="7">
        <v>1</v>
      </c>
      <c r="F359" s="12">
        <v>130</v>
      </c>
      <c r="G359" s="7">
        <v>10</v>
      </c>
      <c r="H359" s="10">
        <v>120</v>
      </c>
      <c r="I359" s="3">
        <v>44931</v>
      </c>
      <c r="J359" s="3" t="s">
        <v>2331</v>
      </c>
      <c r="K359" s="8">
        <v>4</v>
      </c>
    </row>
    <row r="360" spans="1:11" x14ac:dyDescent="0.25">
      <c r="A360" s="2" t="s">
        <v>738</v>
      </c>
      <c r="B360" s="5" t="s">
        <v>739</v>
      </c>
      <c r="C360" s="2" t="s">
        <v>32</v>
      </c>
      <c r="D360" s="1" t="s">
        <v>11</v>
      </c>
      <c r="E360" s="7">
        <v>1</v>
      </c>
      <c r="F360" s="12">
        <v>135</v>
      </c>
      <c r="G360" s="7">
        <v>5</v>
      </c>
      <c r="H360" s="10">
        <v>130</v>
      </c>
      <c r="I360" s="3">
        <v>44931</v>
      </c>
      <c r="J360" s="3" t="s">
        <v>2335</v>
      </c>
      <c r="K360" s="8">
        <v>4</v>
      </c>
    </row>
    <row r="361" spans="1:11" x14ac:dyDescent="0.25">
      <c r="A361" s="2" t="s">
        <v>740</v>
      </c>
      <c r="B361" s="5" t="s">
        <v>741</v>
      </c>
      <c r="C361" s="2" t="s">
        <v>19</v>
      </c>
      <c r="D361" s="1" t="s">
        <v>11</v>
      </c>
      <c r="E361" s="7">
        <v>1</v>
      </c>
      <c r="F361" s="12">
        <v>130</v>
      </c>
      <c r="G361" s="7">
        <v>10</v>
      </c>
      <c r="H361" s="10">
        <v>120</v>
      </c>
      <c r="I361" s="3">
        <v>44931</v>
      </c>
      <c r="J361" s="3" t="s">
        <v>2331</v>
      </c>
      <c r="K361" s="8">
        <v>1</v>
      </c>
    </row>
    <row r="362" spans="1:11" x14ac:dyDescent="0.25">
      <c r="A362" s="2" t="s">
        <v>742</v>
      </c>
      <c r="B362" s="5" t="s">
        <v>743</v>
      </c>
      <c r="C362" s="2" t="s">
        <v>32</v>
      </c>
      <c r="D362" s="1" t="s">
        <v>11</v>
      </c>
      <c r="E362" s="7">
        <v>1</v>
      </c>
      <c r="F362" s="12">
        <v>135</v>
      </c>
      <c r="G362" s="7">
        <v>5</v>
      </c>
      <c r="H362" s="10">
        <v>130</v>
      </c>
      <c r="I362" s="3">
        <v>44931</v>
      </c>
      <c r="J362" s="3" t="s">
        <v>2335</v>
      </c>
      <c r="K362" s="8">
        <v>3</v>
      </c>
    </row>
    <row r="363" spans="1:11" x14ac:dyDescent="0.25">
      <c r="A363" s="2" t="s">
        <v>744</v>
      </c>
      <c r="B363" s="5" t="s">
        <v>745</v>
      </c>
      <c r="C363" s="2" t="s">
        <v>19</v>
      </c>
      <c r="D363" s="1" t="s">
        <v>11</v>
      </c>
      <c r="E363" s="7">
        <v>1</v>
      </c>
      <c r="F363" s="12">
        <v>130</v>
      </c>
      <c r="G363" s="7">
        <v>10</v>
      </c>
      <c r="H363" s="10">
        <v>120</v>
      </c>
      <c r="I363" s="3">
        <v>44931</v>
      </c>
      <c r="J363" s="3" t="s">
        <v>2331</v>
      </c>
      <c r="K363" s="8">
        <v>3</v>
      </c>
    </row>
    <row r="364" spans="1:11" x14ac:dyDescent="0.25">
      <c r="A364" s="2" t="s">
        <v>746</v>
      </c>
      <c r="B364" s="5" t="s">
        <v>747</v>
      </c>
      <c r="C364" s="2" t="s">
        <v>232</v>
      </c>
      <c r="D364" s="1" t="s">
        <v>137</v>
      </c>
      <c r="E364" s="7">
        <v>1</v>
      </c>
      <c r="F364" s="12">
        <v>200</v>
      </c>
      <c r="G364" s="7">
        <v>0</v>
      </c>
      <c r="H364" s="10">
        <v>200</v>
      </c>
      <c r="I364" s="3">
        <v>44962</v>
      </c>
      <c r="J364" s="3" t="s">
        <v>2331</v>
      </c>
      <c r="K364" s="8">
        <v>2</v>
      </c>
    </row>
    <row r="365" spans="1:11" x14ac:dyDescent="0.25">
      <c r="A365" s="2" t="s">
        <v>748</v>
      </c>
      <c r="B365" s="5" t="s">
        <v>749</v>
      </c>
      <c r="C365" s="2" t="s">
        <v>232</v>
      </c>
      <c r="D365" s="1" t="s">
        <v>137</v>
      </c>
      <c r="E365" s="7">
        <v>1</v>
      </c>
      <c r="F365" s="12">
        <v>200</v>
      </c>
      <c r="G365" s="7">
        <v>0</v>
      </c>
      <c r="H365" s="10">
        <v>200</v>
      </c>
      <c r="I365" s="3">
        <v>44962</v>
      </c>
      <c r="J365" s="3" t="s">
        <v>2331</v>
      </c>
      <c r="K365" s="8">
        <v>1</v>
      </c>
    </row>
    <row r="366" spans="1:11" x14ac:dyDescent="0.25">
      <c r="A366" s="2" t="s">
        <v>750</v>
      </c>
      <c r="B366" s="5" t="s">
        <v>751</v>
      </c>
      <c r="C366" s="2" t="s">
        <v>19</v>
      </c>
      <c r="D366" s="1" t="s">
        <v>11</v>
      </c>
      <c r="E366" s="7">
        <v>1</v>
      </c>
      <c r="F366" s="12">
        <v>130</v>
      </c>
      <c r="G366" s="7">
        <v>0</v>
      </c>
      <c r="H366" s="10">
        <v>130</v>
      </c>
      <c r="I366" s="3">
        <v>44990</v>
      </c>
      <c r="J366" s="3" t="s">
        <v>2336</v>
      </c>
      <c r="K366" s="8">
        <v>3</v>
      </c>
    </row>
    <row r="367" spans="1:11" x14ac:dyDescent="0.25">
      <c r="A367" s="2" t="s">
        <v>752</v>
      </c>
      <c r="B367" s="5" t="s">
        <v>753</v>
      </c>
      <c r="C367" s="2" t="s">
        <v>47</v>
      </c>
      <c r="D367" s="1" t="s">
        <v>11</v>
      </c>
      <c r="E367" s="7">
        <v>1</v>
      </c>
      <c r="F367" s="12">
        <v>190</v>
      </c>
      <c r="G367" s="7">
        <v>5</v>
      </c>
      <c r="H367" s="10">
        <v>185</v>
      </c>
      <c r="I367" s="3">
        <v>44990</v>
      </c>
      <c r="J367" s="3" t="s">
        <v>2336</v>
      </c>
      <c r="K367" s="8">
        <v>2</v>
      </c>
    </row>
    <row r="368" spans="1:11" x14ac:dyDescent="0.25">
      <c r="A368" s="2" t="s">
        <v>754</v>
      </c>
      <c r="B368" s="5" t="s">
        <v>755</v>
      </c>
      <c r="C368" s="2" t="s">
        <v>19</v>
      </c>
      <c r="D368" s="1" t="s">
        <v>11</v>
      </c>
      <c r="E368" s="7">
        <v>1</v>
      </c>
      <c r="F368" s="12">
        <v>130</v>
      </c>
      <c r="G368" s="7">
        <v>0</v>
      </c>
      <c r="H368" s="10">
        <v>130</v>
      </c>
      <c r="I368" s="3">
        <v>44990</v>
      </c>
      <c r="J368" s="3" t="s">
        <v>2336</v>
      </c>
      <c r="K368" s="8">
        <v>3</v>
      </c>
    </row>
    <row r="369" spans="1:11" x14ac:dyDescent="0.25">
      <c r="A369" s="2" t="s">
        <v>756</v>
      </c>
      <c r="B369" s="5" t="s">
        <v>757</v>
      </c>
      <c r="C369" s="2" t="s">
        <v>47</v>
      </c>
      <c r="D369" s="1" t="s">
        <v>11</v>
      </c>
      <c r="E369" s="7">
        <v>1</v>
      </c>
      <c r="F369" s="12">
        <v>190</v>
      </c>
      <c r="G369" s="7">
        <v>5</v>
      </c>
      <c r="H369" s="10">
        <v>185</v>
      </c>
      <c r="I369" s="3">
        <v>44990</v>
      </c>
      <c r="J369" s="3" t="s">
        <v>2336</v>
      </c>
      <c r="K369" s="8">
        <v>1</v>
      </c>
    </row>
    <row r="370" spans="1:11" x14ac:dyDescent="0.25">
      <c r="A370" s="2" t="s">
        <v>758</v>
      </c>
      <c r="B370" s="5" t="s">
        <v>759</v>
      </c>
      <c r="C370" s="2" t="s">
        <v>47</v>
      </c>
      <c r="D370" s="1" t="s">
        <v>11</v>
      </c>
      <c r="E370" s="7">
        <v>1</v>
      </c>
      <c r="F370" s="12">
        <v>190</v>
      </c>
      <c r="G370" s="7">
        <v>5</v>
      </c>
      <c r="H370" s="10">
        <v>185</v>
      </c>
      <c r="I370" s="3">
        <v>44990</v>
      </c>
      <c r="J370" s="3" t="s">
        <v>2336</v>
      </c>
      <c r="K370" s="8">
        <v>2</v>
      </c>
    </row>
    <row r="371" spans="1:11" x14ac:dyDescent="0.25">
      <c r="A371" s="2" t="s">
        <v>760</v>
      </c>
      <c r="B371" s="5" t="s">
        <v>761</v>
      </c>
      <c r="C371" s="2" t="s">
        <v>32</v>
      </c>
      <c r="D371" s="1" t="s">
        <v>11</v>
      </c>
      <c r="E371" s="7">
        <v>2</v>
      </c>
      <c r="F371" s="12">
        <v>135</v>
      </c>
      <c r="G371" s="7">
        <v>0</v>
      </c>
      <c r="H371" s="10">
        <v>270</v>
      </c>
      <c r="I371" s="3">
        <v>45021</v>
      </c>
      <c r="J371" s="3" t="s">
        <v>2337</v>
      </c>
      <c r="K371" s="8">
        <v>1</v>
      </c>
    </row>
    <row r="372" spans="1:11" x14ac:dyDescent="0.25">
      <c r="A372" s="2" t="s">
        <v>762</v>
      </c>
      <c r="B372" s="5" t="s">
        <v>763</v>
      </c>
      <c r="C372" s="2" t="s">
        <v>32</v>
      </c>
      <c r="D372" s="1" t="s">
        <v>11</v>
      </c>
      <c r="E372" s="7">
        <v>2</v>
      </c>
      <c r="F372" s="12">
        <v>135</v>
      </c>
      <c r="G372" s="7">
        <v>0</v>
      </c>
      <c r="H372" s="10">
        <v>270</v>
      </c>
      <c r="I372" s="3">
        <v>45021</v>
      </c>
      <c r="J372" s="3" t="s">
        <v>2337</v>
      </c>
      <c r="K372" s="8">
        <v>2</v>
      </c>
    </row>
    <row r="373" spans="1:11" x14ac:dyDescent="0.25">
      <c r="A373" s="2" t="s">
        <v>764</v>
      </c>
      <c r="B373" s="5" t="s">
        <v>765</v>
      </c>
      <c r="C373" s="2" t="s">
        <v>317</v>
      </c>
      <c r="D373" s="1" t="s">
        <v>137</v>
      </c>
      <c r="E373" s="7">
        <v>3</v>
      </c>
      <c r="F373" s="12">
        <v>215</v>
      </c>
      <c r="G373" s="7">
        <v>0</v>
      </c>
      <c r="H373" s="10">
        <v>645</v>
      </c>
      <c r="I373" s="3">
        <v>45082</v>
      </c>
      <c r="J373" s="3" t="s">
        <v>2338</v>
      </c>
      <c r="K373" s="8">
        <v>4</v>
      </c>
    </row>
    <row r="374" spans="1:11" x14ac:dyDescent="0.25">
      <c r="A374" s="2" t="s">
        <v>766</v>
      </c>
      <c r="B374" s="5" t="s">
        <v>767</v>
      </c>
      <c r="C374" s="2" t="s">
        <v>70</v>
      </c>
      <c r="D374" s="1" t="s">
        <v>11</v>
      </c>
      <c r="E374" s="7">
        <v>3</v>
      </c>
      <c r="F374" s="12">
        <v>125</v>
      </c>
      <c r="G374" s="7">
        <v>0</v>
      </c>
      <c r="H374" s="10">
        <v>375</v>
      </c>
      <c r="I374" s="3">
        <v>45082</v>
      </c>
      <c r="J374" s="3" t="s">
        <v>2335</v>
      </c>
      <c r="K374" s="8">
        <v>3</v>
      </c>
    </row>
    <row r="375" spans="1:11" x14ac:dyDescent="0.25">
      <c r="A375" s="2" t="s">
        <v>768</v>
      </c>
      <c r="B375" s="5" t="s">
        <v>769</v>
      </c>
      <c r="C375" s="2" t="s">
        <v>19</v>
      </c>
      <c r="D375" s="1" t="s">
        <v>11</v>
      </c>
      <c r="E375" s="7">
        <v>1</v>
      </c>
      <c r="F375" s="12">
        <v>130</v>
      </c>
      <c r="G375" s="7">
        <v>5</v>
      </c>
      <c r="H375" s="10">
        <v>125</v>
      </c>
      <c r="I375" s="3">
        <v>45082</v>
      </c>
      <c r="J375" s="3" t="s">
        <v>2337</v>
      </c>
      <c r="K375" s="8">
        <v>1</v>
      </c>
    </row>
    <row r="376" spans="1:11" x14ac:dyDescent="0.25">
      <c r="A376" s="2" t="s">
        <v>770</v>
      </c>
      <c r="B376" s="5" t="s">
        <v>771</v>
      </c>
      <c r="C376" s="2" t="s">
        <v>317</v>
      </c>
      <c r="D376" s="1" t="s">
        <v>137</v>
      </c>
      <c r="E376" s="7">
        <v>3</v>
      </c>
      <c r="F376" s="12">
        <v>215</v>
      </c>
      <c r="G376" s="7">
        <v>0</v>
      </c>
      <c r="H376" s="10">
        <v>645</v>
      </c>
      <c r="I376" s="3">
        <v>45082</v>
      </c>
      <c r="J376" s="3" t="s">
        <v>2338</v>
      </c>
      <c r="K376" s="8">
        <v>3</v>
      </c>
    </row>
    <row r="377" spans="1:11" x14ac:dyDescent="0.25">
      <c r="A377" s="2" t="s">
        <v>772</v>
      </c>
      <c r="B377" s="5" t="s">
        <v>773</v>
      </c>
      <c r="C377" s="2" t="s">
        <v>70</v>
      </c>
      <c r="D377" s="1" t="s">
        <v>11</v>
      </c>
      <c r="E377" s="7">
        <v>3</v>
      </c>
      <c r="F377" s="12">
        <v>125</v>
      </c>
      <c r="G377" s="7">
        <v>0</v>
      </c>
      <c r="H377" s="10">
        <v>375</v>
      </c>
      <c r="I377" s="3">
        <v>45082</v>
      </c>
      <c r="J377" s="3" t="s">
        <v>2335</v>
      </c>
      <c r="K377" s="8">
        <v>3</v>
      </c>
    </row>
    <row r="378" spans="1:11" x14ac:dyDescent="0.25">
      <c r="A378" s="2" t="s">
        <v>774</v>
      </c>
      <c r="B378" s="5" t="s">
        <v>775</v>
      </c>
      <c r="C378" s="2" t="s">
        <v>19</v>
      </c>
      <c r="D378" s="1" t="s">
        <v>11</v>
      </c>
      <c r="E378" s="7">
        <v>1</v>
      </c>
      <c r="F378" s="12">
        <v>130</v>
      </c>
      <c r="G378" s="7">
        <v>5</v>
      </c>
      <c r="H378" s="10">
        <v>125</v>
      </c>
      <c r="I378" s="3">
        <v>45082</v>
      </c>
      <c r="J378" s="3" t="s">
        <v>2337</v>
      </c>
      <c r="K378" s="8">
        <v>2</v>
      </c>
    </row>
    <row r="379" spans="1:11" x14ac:dyDescent="0.25">
      <c r="A379" s="2" t="s">
        <v>776</v>
      </c>
      <c r="B379" s="5" t="s">
        <v>777</v>
      </c>
      <c r="C379" s="2" t="s">
        <v>70</v>
      </c>
      <c r="D379" s="1" t="s">
        <v>11</v>
      </c>
      <c r="E379" s="7">
        <v>3</v>
      </c>
      <c r="F379" s="12">
        <v>125</v>
      </c>
      <c r="G379" s="7">
        <v>0</v>
      </c>
      <c r="H379" s="10">
        <v>375</v>
      </c>
      <c r="I379" s="3">
        <v>45082</v>
      </c>
      <c r="J379" s="3" t="s">
        <v>2335</v>
      </c>
      <c r="K379" s="8">
        <v>2</v>
      </c>
    </row>
    <row r="380" spans="1:11" x14ac:dyDescent="0.25">
      <c r="A380" s="2" t="s">
        <v>778</v>
      </c>
      <c r="B380" s="5" t="s">
        <v>779</v>
      </c>
      <c r="C380" s="2" t="s">
        <v>47</v>
      </c>
      <c r="D380" s="1" t="s">
        <v>11</v>
      </c>
      <c r="E380" s="7">
        <v>1</v>
      </c>
      <c r="F380" s="12">
        <v>190</v>
      </c>
      <c r="G380" s="7">
        <v>10</v>
      </c>
      <c r="H380" s="10">
        <v>180</v>
      </c>
      <c r="I380" s="3">
        <v>45112</v>
      </c>
      <c r="J380" s="3" t="s">
        <v>2339</v>
      </c>
      <c r="K380" s="8">
        <v>2</v>
      </c>
    </row>
    <row r="381" spans="1:11" x14ac:dyDescent="0.25">
      <c r="A381" s="2" t="s">
        <v>780</v>
      </c>
      <c r="B381" s="5" t="s">
        <v>781</v>
      </c>
      <c r="C381" s="2" t="s">
        <v>47</v>
      </c>
      <c r="D381" s="1" t="s">
        <v>11</v>
      </c>
      <c r="E381" s="7">
        <v>1</v>
      </c>
      <c r="F381" s="12">
        <v>190</v>
      </c>
      <c r="G381" s="7">
        <v>10</v>
      </c>
      <c r="H381" s="10">
        <v>180</v>
      </c>
      <c r="I381" s="3">
        <v>45112</v>
      </c>
      <c r="J381" s="3" t="s">
        <v>2339</v>
      </c>
      <c r="K381" s="8">
        <v>2</v>
      </c>
    </row>
    <row r="382" spans="1:11" x14ac:dyDescent="0.25">
      <c r="A382" s="2" t="s">
        <v>782</v>
      </c>
      <c r="B382" s="5" t="s">
        <v>783</v>
      </c>
      <c r="C382" s="2" t="s">
        <v>93</v>
      </c>
      <c r="D382" s="1" t="s">
        <v>11</v>
      </c>
      <c r="E382" s="7">
        <v>1</v>
      </c>
      <c r="F382" s="12">
        <v>85</v>
      </c>
      <c r="G382" s="7">
        <v>10</v>
      </c>
      <c r="H382" s="10">
        <v>75</v>
      </c>
      <c r="I382" s="3">
        <v>45174</v>
      </c>
      <c r="J382" s="3" t="s">
        <v>2340</v>
      </c>
      <c r="K382" s="8">
        <v>1</v>
      </c>
    </row>
    <row r="383" spans="1:11" x14ac:dyDescent="0.25">
      <c r="A383" s="2" t="s">
        <v>784</v>
      </c>
      <c r="B383" s="5" t="s">
        <v>785</v>
      </c>
      <c r="C383" s="2" t="s">
        <v>93</v>
      </c>
      <c r="D383" s="1" t="s">
        <v>11</v>
      </c>
      <c r="E383" s="7">
        <v>1</v>
      </c>
      <c r="F383" s="12">
        <v>85</v>
      </c>
      <c r="G383" s="7">
        <v>10</v>
      </c>
      <c r="H383" s="10">
        <v>75</v>
      </c>
      <c r="I383" s="3">
        <v>45174</v>
      </c>
      <c r="J383" s="3" t="s">
        <v>2340</v>
      </c>
      <c r="K383" s="8">
        <v>2</v>
      </c>
    </row>
    <row r="384" spans="1:11" x14ac:dyDescent="0.25">
      <c r="A384" s="2" t="s">
        <v>786</v>
      </c>
      <c r="B384" s="5" t="s">
        <v>787</v>
      </c>
      <c r="C384" s="2" t="s">
        <v>19</v>
      </c>
      <c r="D384" s="1" t="s">
        <v>11</v>
      </c>
      <c r="E384" s="7">
        <v>4</v>
      </c>
      <c r="F384" s="12">
        <v>130</v>
      </c>
      <c r="G384" s="7">
        <v>5</v>
      </c>
      <c r="H384" s="10">
        <v>515</v>
      </c>
      <c r="I384" s="3">
        <v>45204</v>
      </c>
      <c r="J384" s="3" t="s">
        <v>2341</v>
      </c>
      <c r="K384" s="8">
        <v>3</v>
      </c>
    </row>
    <row r="385" spans="1:11" x14ac:dyDescent="0.25">
      <c r="A385" s="2" t="s">
        <v>788</v>
      </c>
      <c r="B385" s="5" t="s">
        <v>789</v>
      </c>
      <c r="C385" s="2" t="s">
        <v>19</v>
      </c>
      <c r="D385" s="1" t="s">
        <v>11</v>
      </c>
      <c r="E385" s="7">
        <v>4</v>
      </c>
      <c r="F385" s="12">
        <v>130</v>
      </c>
      <c r="G385" s="7">
        <v>5</v>
      </c>
      <c r="H385" s="10">
        <v>515</v>
      </c>
      <c r="I385" s="3">
        <v>45204</v>
      </c>
      <c r="J385" s="3" t="s">
        <v>2341</v>
      </c>
      <c r="K385" s="8">
        <v>1</v>
      </c>
    </row>
    <row r="386" spans="1:11" x14ac:dyDescent="0.25">
      <c r="A386" s="2" t="s">
        <v>790</v>
      </c>
      <c r="B386" s="5" t="s">
        <v>791</v>
      </c>
      <c r="C386" s="2" t="s">
        <v>19</v>
      </c>
      <c r="D386" s="1" t="s">
        <v>11</v>
      </c>
      <c r="E386" s="7">
        <v>2</v>
      </c>
      <c r="F386" s="12">
        <v>130</v>
      </c>
      <c r="G386" s="7">
        <v>10</v>
      </c>
      <c r="H386" s="10">
        <v>250</v>
      </c>
      <c r="I386" s="3">
        <v>45235</v>
      </c>
      <c r="J386" s="3" t="s">
        <v>2342</v>
      </c>
      <c r="K386" s="8">
        <v>4</v>
      </c>
    </row>
    <row r="387" spans="1:11" x14ac:dyDescent="0.25">
      <c r="A387" s="2" t="s">
        <v>792</v>
      </c>
      <c r="B387" s="5" t="s">
        <v>793</v>
      </c>
      <c r="C387" s="2" t="s">
        <v>19</v>
      </c>
      <c r="D387" s="1" t="s">
        <v>11</v>
      </c>
      <c r="E387" s="7">
        <v>2</v>
      </c>
      <c r="F387" s="12">
        <v>130</v>
      </c>
      <c r="G387" s="7">
        <v>10</v>
      </c>
      <c r="H387" s="10">
        <v>250</v>
      </c>
      <c r="I387" s="3">
        <v>45235</v>
      </c>
      <c r="J387" s="3" t="s">
        <v>2342</v>
      </c>
      <c r="K387" s="8">
        <v>3</v>
      </c>
    </row>
    <row r="388" spans="1:11" x14ac:dyDescent="0.25">
      <c r="A388" s="2" t="s">
        <v>794</v>
      </c>
      <c r="B388" s="5" t="s">
        <v>795</v>
      </c>
      <c r="C388" s="2" t="s">
        <v>10</v>
      </c>
      <c r="D388" s="1" t="s">
        <v>11</v>
      </c>
      <c r="E388" s="7">
        <v>1</v>
      </c>
      <c r="F388" s="12">
        <v>160</v>
      </c>
      <c r="G388" s="7">
        <v>0</v>
      </c>
      <c r="H388" s="10">
        <v>160</v>
      </c>
      <c r="I388" s="3">
        <v>45265</v>
      </c>
      <c r="J388" s="3" t="s">
        <v>2343</v>
      </c>
      <c r="K388" s="8">
        <v>4</v>
      </c>
    </row>
    <row r="389" spans="1:11" x14ac:dyDescent="0.25">
      <c r="A389" s="2" t="s">
        <v>796</v>
      </c>
      <c r="B389" s="5" t="s">
        <v>797</v>
      </c>
      <c r="C389" s="2" t="s">
        <v>10</v>
      </c>
      <c r="D389" s="1" t="s">
        <v>11</v>
      </c>
      <c r="E389" s="7">
        <v>1</v>
      </c>
      <c r="F389" s="12">
        <v>160</v>
      </c>
      <c r="G389" s="7">
        <v>0</v>
      </c>
      <c r="H389" s="10">
        <v>160</v>
      </c>
      <c r="I389" s="3">
        <v>45265</v>
      </c>
      <c r="J389" s="3" t="s">
        <v>2343</v>
      </c>
      <c r="K389" s="8">
        <v>2</v>
      </c>
    </row>
    <row r="390" spans="1:11" x14ac:dyDescent="0.25">
      <c r="A390" s="2" t="s">
        <v>798</v>
      </c>
      <c r="B390" s="5" t="s">
        <v>799</v>
      </c>
      <c r="C390" s="2" t="s">
        <v>19</v>
      </c>
      <c r="D390" s="1" t="s">
        <v>11</v>
      </c>
      <c r="E390" s="7">
        <v>1</v>
      </c>
      <c r="F390" s="12">
        <v>130</v>
      </c>
      <c r="G390" s="7">
        <v>0</v>
      </c>
      <c r="H390" s="10">
        <v>130</v>
      </c>
      <c r="I390" s="3">
        <v>45059</v>
      </c>
      <c r="J390" s="3" t="s">
        <v>2345</v>
      </c>
      <c r="K390" s="8">
        <v>2</v>
      </c>
    </row>
    <row r="391" spans="1:11" x14ac:dyDescent="0.25">
      <c r="A391" s="2" t="s">
        <v>800</v>
      </c>
      <c r="B391" s="5" t="s">
        <v>801</v>
      </c>
      <c r="C391" s="2" t="s">
        <v>19</v>
      </c>
      <c r="D391" s="1" t="s">
        <v>11</v>
      </c>
      <c r="E391" s="7">
        <v>1</v>
      </c>
      <c r="F391" s="12">
        <v>130</v>
      </c>
      <c r="G391" s="7">
        <v>0</v>
      </c>
      <c r="H391" s="10">
        <v>130</v>
      </c>
      <c r="I391" s="3">
        <v>45059</v>
      </c>
      <c r="J391" s="3" t="s">
        <v>2345</v>
      </c>
      <c r="K391" s="8">
        <v>1</v>
      </c>
    </row>
    <row r="392" spans="1:11" x14ac:dyDescent="0.25">
      <c r="A392" s="2" t="s">
        <v>802</v>
      </c>
      <c r="B392" s="5" t="s">
        <v>803</v>
      </c>
      <c r="C392" s="2" t="s">
        <v>19</v>
      </c>
      <c r="D392" s="1" t="s">
        <v>11</v>
      </c>
      <c r="E392" s="7">
        <v>1</v>
      </c>
      <c r="F392" s="12">
        <v>130</v>
      </c>
      <c r="G392" s="7">
        <v>0</v>
      </c>
      <c r="H392" s="10">
        <v>130</v>
      </c>
      <c r="I392" s="3">
        <v>45059</v>
      </c>
      <c r="J392" s="3" t="s">
        <v>2345</v>
      </c>
      <c r="K392" s="8">
        <v>2</v>
      </c>
    </row>
    <row r="393" spans="1:11" x14ac:dyDescent="0.25">
      <c r="A393" s="2" t="s">
        <v>804</v>
      </c>
      <c r="B393" s="5" t="s">
        <v>805</v>
      </c>
      <c r="C393" s="2" t="s">
        <v>19</v>
      </c>
      <c r="D393" s="1" t="s">
        <v>11</v>
      </c>
      <c r="E393" s="7">
        <v>1</v>
      </c>
      <c r="F393" s="12">
        <v>130</v>
      </c>
      <c r="G393" s="7">
        <v>10</v>
      </c>
      <c r="H393" s="10">
        <v>120</v>
      </c>
      <c r="I393" s="3">
        <v>45060</v>
      </c>
      <c r="J393" s="3" t="s">
        <v>2347</v>
      </c>
      <c r="K393" s="8">
        <v>4</v>
      </c>
    </row>
    <row r="394" spans="1:11" x14ac:dyDescent="0.25">
      <c r="A394" s="2" t="s">
        <v>806</v>
      </c>
      <c r="B394" s="5" t="s">
        <v>807</v>
      </c>
      <c r="C394" s="2" t="s">
        <v>19</v>
      </c>
      <c r="D394" s="1" t="s">
        <v>11</v>
      </c>
      <c r="E394" s="7">
        <v>1</v>
      </c>
      <c r="F394" s="12">
        <v>130</v>
      </c>
      <c r="G394" s="7">
        <v>0</v>
      </c>
      <c r="H394" s="10">
        <v>130</v>
      </c>
      <c r="I394" s="3">
        <v>45060</v>
      </c>
      <c r="J394" s="3" t="s">
        <v>2345</v>
      </c>
      <c r="K394" s="8">
        <v>3</v>
      </c>
    </row>
    <row r="395" spans="1:11" x14ac:dyDescent="0.25">
      <c r="A395" s="2" t="s">
        <v>808</v>
      </c>
      <c r="B395" s="5" t="s">
        <v>809</v>
      </c>
      <c r="C395" s="2" t="s">
        <v>19</v>
      </c>
      <c r="D395" s="1" t="s">
        <v>11</v>
      </c>
      <c r="E395" s="7">
        <v>1</v>
      </c>
      <c r="F395" s="12">
        <v>130</v>
      </c>
      <c r="G395" s="7">
        <v>10</v>
      </c>
      <c r="H395" s="10">
        <v>120</v>
      </c>
      <c r="I395" s="3">
        <v>45060</v>
      </c>
      <c r="J395" s="3" t="s">
        <v>2347</v>
      </c>
      <c r="K395" s="8">
        <v>2</v>
      </c>
    </row>
    <row r="396" spans="1:11" x14ac:dyDescent="0.25">
      <c r="A396" s="2" t="s">
        <v>810</v>
      </c>
      <c r="B396" s="5" t="s">
        <v>811</v>
      </c>
      <c r="C396" s="2" t="s">
        <v>19</v>
      </c>
      <c r="D396" s="1" t="s">
        <v>11</v>
      </c>
      <c r="E396" s="7">
        <v>1</v>
      </c>
      <c r="F396" s="12">
        <v>130</v>
      </c>
      <c r="G396" s="7">
        <v>0</v>
      </c>
      <c r="H396" s="10">
        <v>130</v>
      </c>
      <c r="I396" s="3">
        <v>45060</v>
      </c>
      <c r="J396" s="3" t="s">
        <v>2345</v>
      </c>
      <c r="K396" s="8">
        <v>3</v>
      </c>
    </row>
    <row r="397" spans="1:11" x14ac:dyDescent="0.25">
      <c r="A397" s="2" t="s">
        <v>812</v>
      </c>
      <c r="B397" s="5" t="s">
        <v>813</v>
      </c>
      <c r="C397" s="2" t="s">
        <v>19</v>
      </c>
      <c r="D397" s="1" t="s">
        <v>11</v>
      </c>
      <c r="E397" s="7">
        <v>1</v>
      </c>
      <c r="F397" s="12">
        <v>130</v>
      </c>
      <c r="G397" s="7">
        <v>0</v>
      </c>
      <c r="H397" s="10">
        <v>130</v>
      </c>
      <c r="I397" s="3">
        <v>45060</v>
      </c>
      <c r="J397" s="3" t="s">
        <v>2345</v>
      </c>
      <c r="K397" s="8">
        <v>1</v>
      </c>
    </row>
    <row r="398" spans="1:11" x14ac:dyDescent="0.25">
      <c r="A398" s="2" t="s">
        <v>814</v>
      </c>
      <c r="B398" s="5" t="s">
        <v>815</v>
      </c>
      <c r="C398" s="2" t="s">
        <v>19</v>
      </c>
      <c r="D398" s="1" t="s">
        <v>11</v>
      </c>
      <c r="E398" s="7">
        <v>1</v>
      </c>
      <c r="F398" s="12">
        <v>130</v>
      </c>
      <c r="G398" s="7">
        <v>5</v>
      </c>
      <c r="H398" s="10">
        <v>125</v>
      </c>
      <c r="I398" s="3">
        <v>45061</v>
      </c>
      <c r="J398" s="3" t="s">
        <v>2343</v>
      </c>
      <c r="K398" s="8">
        <v>3</v>
      </c>
    </row>
    <row r="399" spans="1:11" x14ac:dyDescent="0.25">
      <c r="A399" s="2" t="s">
        <v>816</v>
      </c>
      <c r="B399" s="5" t="s">
        <v>817</v>
      </c>
      <c r="C399" s="2" t="s">
        <v>19</v>
      </c>
      <c r="D399" s="1" t="s">
        <v>11</v>
      </c>
      <c r="E399" s="7">
        <v>1</v>
      </c>
      <c r="F399" s="12">
        <v>130</v>
      </c>
      <c r="G399" s="7">
        <v>5</v>
      </c>
      <c r="H399" s="10">
        <v>125</v>
      </c>
      <c r="I399" s="3">
        <v>45061</v>
      </c>
      <c r="J399" s="3" t="s">
        <v>2343</v>
      </c>
      <c r="K399" s="8">
        <v>2</v>
      </c>
    </row>
    <row r="400" spans="1:11" x14ac:dyDescent="0.25">
      <c r="A400" s="2" t="s">
        <v>818</v>
      </c>
      <c r="B400" s="5" t="s">
        <v>819</v>
      </c>
      <c r="C400" s="2" t="s">
        <v>10</v>
      </c>
      <c r="D400" s="1" t="s">
        <v>11</v>
      </c>
      <c r="E400" s="7">
        <v>1</v>
      </c>
      <c r="F400" s="12">
        <v>160</v>
      </c>
      <c r="G400" s="7">
        <v>10</v>
      </c>
      <c r="H400" s="10">
        <v>150</v>
      </c>
      <c r="I400" s="3">
        <v>45062</v>
      </c>
      <c r="J400" s="3" t="s">
        <v>2347</v>
      </c>
      <c r="K400" s="8">
        <v>1</v>
      </c>
    </row>
    <row r="401" spans="1:11" x14ac:dyDescent="0.25">
      <c r="A401" s="2" t="s">
        <v>820</v>
      </c>
      <c r="B401" s="5" t="s">
        <v>821</v>
      </c>
      <c r="C401" s="2" t="s">
        <v>10</v>
      </c>
      <c r="D401" s="1" t="s">
        <v>11</v>
      </c>
      <c r="E401" s="7">
        <v>1</v>
      </c>
      <c r="F401" s="12">
        <v>160</v>
      </c>
      <c r="G401" s="7">
        <v>10</v>
      </c>
      <c r="H401" s="10">
        <v>150</v>
      </c>
      <c r="I401" s="3">
        <v>45062</v>
      </c>
      <c r="J401" s="3" t="s">
        <v>2347</v>
      </c>
      <c r="K401" s="8">
        <v>1</v>
      </c>
    </row>
    <row r="402" spans="1:11" x14ac:dyDescent="0.25">
      <c r="A402" s="2" t="s">
        <v>822</v>
      </c>
      <c r="B402" s="5" t="s">
        <v>823</v>
      </c>
      <c r="C402" s="2" t="s">
        <v>19</v>
      </c>
      <c r="D402" s="1" t="s">
        <v>11</v>
      </c>
      <c r="E402" s="7">
        <v>3</v>
      </c>
      <c r="F402" s="12">
        <v>130</v>
      </c>
      <c r="G402" s="7">
        <v>0</v>
      </c>
      <c r="H402" s="10">
        <v>390</v>
      </c>
      <c r="I402" s="3">
        <v>45063</v>
      </c>
      <c r="J402" s="3" t="s">
        <v>2351</v>
      </c>
      <c r="K402" s="8">
        <v>4</v>
      </c>
    </row>
    <row r="403" spans="1:11" x14ac:dyDescent="0.25">
      <c r="A403" s="2" t="s">
        <v>824</v>
      </c>
      <c r="B403" s="5" t="s">
        <v>825</v>
      </c>
      <c r="C403" s="2" t="s">
        <v>19</v>
      </c>
      <c r="D403" s="1" t="s">
        <v>11</v>
      </c>
      <c r="E403" s="7">
        <v>3</v>
      </c>
      <c r="F403" s="12">
        <v>130</v>
      </c>
      <c r="G403" s="7">
        <v>0</v>
      </c>
      <c r="H403" s="10">
        <v>390</v>
      </c>
      <c r="I403" s="3">
        <v>45063</v>
      </c>
      <c r="J403" s="3" t="s">
        <v>2351</v>
      </c>
      <c r="K403" s="8">
        <v>3</v>
      </c>
    </row>
    <row r="404" spans="1:11" x14ac:dyDescent="0.25">
      <c r="A404" s="2" t="s">
        <v>826</v>
      </c>
      <c r="B404" s="5" t="s">
        <v>827</v>
      </c>
      <c r="C404" s="2" t="s">
        <v>19</v>
      </c>
      <c r="D404" s="1" t="s">
        <v>11</v>
      </c>
      <c r="E404" s="7">
        <v>1</v>
      </c>
      <c r="F404" s="12">
        <v>130</v>
      </c>
      <c r="G404" s="7">
        <v>0</v>
      </c>
      <c r="H404" s="10">
        <v>130</v>
      </c>
      <c r="I404" s="3">
        <v>45066</v>
      </c>
      <c r="J404" s="3" t="s">
        <v>2353</v>
      </c>
      <c r="K404" s="8">
        <v>4</v>
      </c>
    </row>
    <row r="405" spans="1:11" x14ac:dyDescent="0.25">
      <c r="A405" s="2" t="s">
        <v>828</v>
      </c>
      <c r="B405" s="5" t="s">
        <v>829</v>
      </c>
      <c r="C405" s="2" t="s">
        <v>19</v>
      </c>
      <c r="D405" s="1" t="s">
        <v>11</v>
      </c>
      <c r="E405" s="7">
        <v>1</v>
      </c>
      <c r="F405" s="12">
        <v>130</v>
      </c>
      <c r="G405" s="7">
        <v>0</v>
      </c>
      <c r="H405" s="10">
        <v>130</v>
      </c>
      <c r="I405" s="3">
        <v>45066</v>
      </c>
      <c r="J405" s="3" t="s">
        <v>2353</v>
      </c>
      <c r="K405" s="8">
        <v>3</v>
      </c>
    </row>
    <row r="406" spans="1:11" x14ac:dyDescent="0.25">
      <c r="A406" s="2" t="s">
        <v>830</v>
      </c>
      <c r="B406" s="5" t="s">
        <v>831</v>
      </c>
      <c r="C406" s="2" t="s">
        <v>19</v>
      </c>
      <c r="D406" s="1" t="s">
        <v>11</v>
      </c>
      <c r="E406" s="7">
        <v>1</v>
      </c>
      <c r="F406" s="12">
        <v>130</v>
      </c>
      <c r="G406" s="7">
        <v>0</v>
      </c>
      <c r="H406" s="10">
        <v>130</v>
      </c>
      <c r="I406" s="3">
        <v>45067</v>
      </c>
      <c r="J406" s="3" t="s">
        <v>2355</v>
      </c>
      <c r="K406" s="8">
        <v>2</v>
      </c>
    </row>
    <row r="407" spans="1:11" x14ac:dyDescent="0.25">
      <c r="A407" s="2" t="s">
        <v>832</v>
      </c>
      <c r="B407" s="5" t="s">
        <v>833</v>
      </c>
      <c r="C407" s="2" t="s">
        <v>47</v>
      </c>
      <c r="D407" s="1" t="s">
        <v>11</v>
      </c>
      <c r="E407" s="7">
        <v>1</v>
      </c>
      <c r="F407" s="12">
        <v>190</v>
      </c>
      <c r="G407" s="7">
        <v>5</v>
      </c>
      <c r="H407" s="10">
        <v>185</v>
      </c>
      <c r="I407" s="3">
        <v>45067</v>
      </c>
      <c r="J407" s="3" t="s">
        <v>2351</v>
      </c>
      <c r="K407" s="8">
        <v>4</v>
      </c>
    </row>
    <row r="408" spans="1:11" x14ac:dyDescent="0.25">
      <c r="A408" s="2" t="s">
        <v>834</v>
      </c>
      <c r="B408" s="5" t="s">
        <v>835</v>
      </c>
      <c r="C408" s="2" t="s">
        <v>19</v>
      </c>
      <c r="D408" s="1" t="s">
        <v>11</v>
      </c>
      <c r="E408" s="7">
        <v>1</v>
      </c>
      <c r="F408" s="12">
        <v>130</v>
      </c>
      <c r="G408" s="7">
        <v>0</v>
      </c>
      <c r="H408" s="10">
        <v>130</v>
      </c>
      <c r="I408" s="3">
        <v>45067</v>
      </c>
      <c r="J408" s="3" t="s">
        <v>2355</v>
      </c>
      <c r="K408" s="8">
        <v>1</v>
      </c>
    </row>
    <row r="409" spans="1:11" x14ac:dyDescent="0.25">
      <c r="A409" s="2" t="s">
        <v>836</v>
      </c>
      <c r="B409" s="5" t="s">
        <v>837</v>
      </c>
      <c r="C409" s="2" t="s">
        <v>47</v>
      </c>
      <c r="D409" s="1" t="s">
        <v>11</v>
      </c>
      <c r="E409" s="7">
        <v>1</v>
      </c>
      <c r="F409" s="12">
        <v>190</v>
      </c>
      <c r="G409" s="7">
        <v>5</v>
      </c>
      <c r="H409" s="10">
        <v>185</v>
      </c>
      <c r="I409" s="3">
        <v>45067</v>
      </c>
      <c r="J409" s="3" t="s">
        <v>2351</v>
      </c>
      <c r="K409" s="8">
        <v>2</v>
      </c>
    </row>
    <row r="410" spans="1:11" x14ac:dyDescent="0.25">
      <c r="A410" s="2" t="s">
        <v>838</v>
      </c>
      <c r="B410" s="5" t="s">
        <v>839</v>
      </c>
      <c r="C410" s="2" t="s">
        <v>19</v>
      </c>
      <c r="D410" s="1" t="s">
        <v>11</v>
      </c>
      <c r="E410" s="7">
        <v>1</v>
      </c>
      <c r="F410" s="12">
        <v>130</v>
      </c>
      <c r="G410" s="7">
        <v>0</v>
      </c>
      <c r="H410" s="10">
        <v>130</v>
      </c>
      <c r="I410" s="3">
        <v>45067</v>
      </c>
      <c r="J410" s="3" t="s">
        <v>2355</v>
      </c>
      <c r="K410" s="8">
        <v>2</v>
      </c>
    </row>
    <row r="411" spans="1:11" x14ac:dyDescent="0.25">
      <c r="A411" s="2" t="s">
        <v>840</v>
      </c>
      <c r="B411" s="5" t="s">
        <v>841</v>
      </c>
      <c r="C411" s="2" t="s">
        <v>167</v>
      </c>
      <c r="D411" s="1" t="s">
        <v>11</v>
      </c>
      <c r="E411" s="7">
        <v>1</v>
      </c>
      <c r="F411" s="12">
        <v>210</v>
      </c>
      <c r="G411" s="7">
        <v>0</v>
      </c>
      <c r="H411" s="10">
        <v>210</v>
      </c>
      <c r="I411" s="3">
        <v>45069</v>
      </c>
      <c r="J411" s="3" t="s">
        <v>2357</v>
      </c>
      <c r="K411" s="8">
        <v>3</v>
      </c>
    </row>
    <row r="412" spans="1:11" x14ac:dyDescent="0.25">
      <c r="A412" s="2" t="s">
        <v>842</v>
      </c>
      <c r="B412" s="5" t="s">
        <v>843</v>
      </c>
      <c r="C412" s="2" t="s">
        <v>32</v>
      </c>
      <c r="D412" s="1" t="s">
        <v>11</v>
      </c>
      <c r="E412" s="7">
        <v>2</v>
      </c>
      <c r="F412" s="12">
        <v>135</v>
      </c>
      <c r="G412" s="7">
        <v>0</v>
      </c>
      <c r="H412" s="10">
        <v>270</v>
      </c>
      <c r="I412" s="3">
        <v>45069</v>
      </c>
      <c r="J412" s="3" t="s">
        <v>2358</v>
      </c>
      <c r="K412" s="8">
        <v>3</v>
      </c>
    </row>
    <row r="413" spans="1:11" x14ac:dyDescent="0.25">
      <c r="A413" s="2" t="s">
        <v>844</v>
      </c>
      <c r="B413" s="5" t="s">
        <v>845</v>
      </c>
      <c r="C413" s="2" t="s">
        <v>19</v>
      </c>
      <c r="D413" s="1" t="s">
        <v>11</v>
      </c>
      <c r="E413" s="7">
        <v>1</v>
      </c>
      <c r="F413" s="12">
        <v>130</v>
      </c>
      <c r="G413" s="7">
        <v>0</v>
      </c>
      <c r="H413" s="10">
        <v>130</v>
      </c>
      <c r="I413" s="3">
        <v>45069</v>
      </c>
      <c r="J413" s="3" t="s">
        <v>2359</v>
      </c>
      <c r="K413" s="8">
        <v>1</v>
      </c>
    </row>
    <row r="414" spans="1:11" x14ac:dyDescent="0.25">
      <c r="A414" s="2" t="s">
        <v>846</v>
      </c>
      <c r="B414" s="5" t="s">
        <v>847</v>
      </c>
      <c r="C414" s="2" t="s">
        <v>232</v>
      </c>
      <c r="D414" s="1" t="s">
        <v>137</v>
      </c>
      <c r="E414" s="7">
        <v>1</v>
      </c>
      <c r="F414" s="12">
        <v>200</v>
      </c>
      <c r="G414" s="7">
        <v>0</v>
      </c>
      <c r="H414" s="10">
        <v>200</v>
      </c>
      <c r="I414" s="3">
        <v>45069</v>
      </c>
      <c r="J414" s="3" t="s">
        <v>2359</v>
      </c>
      <c r="K414" s="8">
        <v>4</v>
      </c>
    </row>
    <row r="415" spans="1:11" x14ac:dyDescent="0.25">
      <c r="A415" s="2" t="s">
        <v>848</v>
      </c>
      <c r="B415" s="5" t="s">
        <v>849</v>
      </c>
      <c r="C415" s="2" t="s">
        <v>32</v>
      </c>
      <c r="D415" s="1" t="s">
        <v>11</v>
      </c>
      <c r="E415" s="7">
        <v>2</v>
      </c>
      <c r="F415" s="12">
        <v>135</v>
      </c>
      <c r="G415" s="7">
        <v>0</v>
      </c>
      <c r="H415" s="10">
        <v>270</v>
      </c>
      <c r="I415" s="3">
        <v>45069</v>
      </c>
      <c r="J415" s="3" t="s">
        <v>2357</v>
      </c>
      <c r="K415" s="8">
        <v>1</v>
      </c>
    </row>
    <row r="416" spans="1:11" x14ac:dyDescent="0.25">
      <c r="A416" s="2" t="s">
        <v>850</v>
      </c>
      <c r="B416" s="5" t="s">
        <v>851</v>
      </c>
      <c r="C416" s="2" t="s">
        <v>167</v>
      </c>
      <c r="D416" s="1" t="s">
        <v>11</v>
      </c>
      <c r="E416" s="7">
        <v>1</v>
      </c>
      <c r="F416" s="12">
        <v>210</v>
      </c>
      <c r="G416" s="7">
        <v>0</v>
      </c>
      <c r="H416" s="10">
        <v>210</v>
      </c>
      <c r="I416" s="3">
        <v>45069</v>
      </c>
      <c r="J416" s="3" t="s">
        <v>2357</v>
      </c>
      <c r="K416" s="8">
        <v>2</v>
      </c>
    </row>
    <row r="417" spans="1:11" x14ac:dyDescent="0.25">
      <c r="A417" s="2" t="s">
        <v>852</v>
      </c>
      <c r="B417" s="5" t="s">
        <v>853</v>
      </c>
      <c r="C417" s="2" t="s">
        <v>32</v>
      </c>
      <c r="D417" s="1" t="s">
        <v>11</v>
      </c>
      <c r="E417" s="7">
        <v>2</v>
      </c>
      <c r="F417" s="12">
        <v>135</v>
      </c>
      <c r="G417" s="7">
        <v>0</v>
      </c>
      <c r="H417" s="10">
        <v>270</v>
      </c>
      <c r="I417" s="3">
        <v>45069</v>
      </c>
      <c r="J417" s="3" t="s">
        <v>2358</v>
      </c>
      <c r="K417" s="8">
        <v>3</v>
      </c>
    </row>
    <row r="418" spans="1:11" x14ac:dyDescent="0.25">
      <c r="A418" s="2" t="s">
        <v>854</v>
      </c>
      <c r="B418" s="5" t="s">
        <v>855</v>
      </c>
      <c r="C418" s="2" t="s">
        <v>19</v>
      </c>
      <c r="D418" s="1" t="s">
        <v>11</v>
      </c>
      <c r="E418" s="7">
        <v>1</v>
      </c>
      <c r="F418" s="12">
        <v>130</v>
      </c>
      <c r="G418" s="7">
        <v>0</v>
      </c>
      <c r="H418" s="10">
        <v>130</v>
      </c>
      <c r="I418" s="3">
        <v>45069</v>
      </c>
      <c r="J418" s="3" t="s">
        <v>2359</v>
      </c>
      <c r="K418" s="8">
        <v>3</v>
      </c>
    </row>
    <row r="419" spans="1:11" x14ac:dyDescent="0.25">
      <c r="A419" s="2" t="s">
        <v>856</v>
      </c>
      <c r="B419" s="5" t="s">
        <v>857</v>
      </c>
      <c r="C419" s="2" t="s">
        <v>232</v>
      </c>
      <c r="D419" s="1" t="s">
        <v>137</v>
      </c>
      <c r="E419" s="7">
        <v>1</v>
      </c>
      <c r="F419" s="12">
        <v>200</v>
      </c>
      <c r="G419" s="7">
        <v>0</v>
      </c>
      <c r="H419" s="10">
        <v>200</v>
      </c>
      <c r="I419" s="3">
        <v>45069</v>
      </c>
      <c r="J419" s="3" t="s">
        <v>2359</v>
      </c>
      <c r="K419" s="8">
        <v>4</v>
      </c>
    </row>
    <row r="420" spans="1:11" x14ac:dyDescent="0.25">
      <c r="A420" s="2" t="s">
        <v>858</v>
      </c>
      <c r="B420" s="5" t="s">
        <v>859</v>
      </c>
      <c r="C420" s="2" t="s">
        <v>32</v>
      </c>
      <c r="D420" s="1" t="s">
        <v>11</v>
      </c>
      <c r="E420" s="7">
        <v>2</v>
      </c>
      <c r="F420" s="12">
        <v>135</v>
      </c>
      <c r="G420" s="7">
        <v>0</v>
      </c>
      <c r="H420" s="10">
        <v>270</v>
      </c>
      <c r="I420" s="3">
        <v>45069</v>
      </c>
      <c r="J420" s="3" t="s">
        <v>2357</v>
      </c>
      <c r="K420" s="8">
        <v>2</v>
      </c>
    </row>
    <row r="421" spans="1:11" x14ac:dyDescent="0.25">
      <c r="A421" s="2" t="s">
        <v>860</v>
      </c>
      <c r="B421" s="5" t="s">
        <v>861</v>
      </c>
      <c r="C421" s="2" t="s">
        <v>32</v>
      </c>
      <c r="D421" s="1" t="s">
        <v>11</v>
      </c>
      <c r="E421" s="7">
        <v>2</v>
      </c>
      <c r="F421" s="12">
        <v>135</v>
      </c>
      <c r="G421" s="7">
        <v>0</v>
      </c>
      <c r="H421" s="10">
        <v>270</v>
      </c>
      <c r="I421" s="3">
        <v>45069</v>
      </c>
      <c r="J421" s="3" t="s">
        <v>2358</v>
      </c>
      <c r="K421" s="8">
        <v>2</v>
      </c>
    </row>
    <row r="422" spans="1:11" x14ac:dyDescent="0.25">
      <c r="A422" s="2" t="s">
        <v>862</v>
      </c>
      <c r="B422" s="5" t="s">
        <v>863</v>
      </c>
      <c r="C422" s="2" t="s">
        <v>19</v>
      </c>
      <c r="D422" s="1" t="s">
        <v>11</v>
      </c>
      <c r="E422" s="7">
        <v>1</v>
      </c>
      <c r="F422" s="12">
        <v>130</v>
      </c>
      <c r="G422" s="7">
        <v>0</v>
      </c>
      <c r="H422" s="10">
        <v>130</v>
      </c>
      <c r="I422" s="3">
        <v>45069</v>
      </c>
      <c r="J422" s="3" t="s">
        <v>2359</v>
      </c>
      <c r="K422" s="8">
        <v>1</v>
      </c>
    </row>
    <row r="423" spans="1:11" x14ac:dyDescent="0.25">
      <c r="A423" s="2" t="s">
        <v>864</v>
      </c>
      <c r="B423" s="5" t="s">
        <v>865</v>
      </c>
      <c r="C423" s="2" t="s">
        <v>232</v>
      </c>
      <c r="D423" s="1" t="s">
        <v>137</v>
      </c>
      <c r="E423" s="7">
        <v>1</v>
      </c>
      <c r="F423" s="12">
        <v>200</v>
      </c>
      <c r="G423" s="7">
        <v>0</v>
      </c>
      <c r="H423" s="10">
        <v>200</v>
      </c>
      <c r="I423" s="3">
        <v>45069</v>
      </c>
      <c r="J423" s="3" t="s">
        <v>2359</v>
      </c>
      <c r="K423" s="8">
        <v>1</v>
      </c>
    </row>
    <row r="424" spans="1:11" x14ac:dyDescent="0.25">
      <c r="A424" s="2" t="s">
        <v>866</v>
      </c>
      <c r="B424" s="5" t="s">
        <v>867</v>
      </c>
      <c r="C424" s="2" t="s">
        <v>32</v>
      </c>
      <c r="D424" s="1" t="s">
        <v>11</v>
      </c>
      <c r="E424" s="7">
        <v>2</v>
      </c>
      <c r="F424" s="12">
        <v>135</v>
      </c>
      <c r="G424" s="7">
        <v>0</v>
      </c>
      <c r="H424" s="10">
        <v>270</v>
      </c>
      <c r="I424" s="3">
        <v>45069</v>
      </c>
      <c r="J424" s="3" t="s">
        <v>2357</v>
      </c>
      <c r="K424" s="8">
        <v>1</v>
      </c>
    </row>
    <row r="425" spans="1:11" x14ac:dyDescent="0.25">
      <c r="A425" s="2" t="s">
        <v>868</v>
      </c>
      <c r="B425" s="5" t="s">
        <v>869</v>
      </c>
      <c r="C425" s="2" t="s">
        <v>19</v>
      </c>
      <c r="D425" s="1" t="s">
        <v>11</v>
      </c>
      <c r="E425" s="7">
        <v>2</v>
      </c>
      <c r="F425" s="12">
        <v>130</v>
      </c>
      <c r="G425" s="7">
        <v>5</v>
      </c>
      <c r="H425" s="10">
        <v>255</v>
      </c>
      <c r="I425" s="3">
        <v>45070</v>
      </c>
      <c r="J425" s="3" t="s">
        <v>2355</v>
      </c>
      <c r="K425" s="8">
        <v>2</v>
      </c>
    </row>
    <row r="426" spans="1:11" x14ac:dyDescent="0.25">
      <c r="A426" s="2" t="s">
        <v>870</v>
      </c>
      <c r="B426" s="5" t="s">
        <v>871</v>
      </c>
      <c r="C426" s="2" t="s">
        <v>93</v>
      </c>
      <c r="D426" s="1" t="s">
        <v>11</v>
      </c>
      <c r="E426" s="7">
        <v>2</v>
      </c>
      <c r="F426" s="12">
        <v>85</v>
      </c>
      <c r="G426" s="7">
        <v>0</v>
      </c>
      <c r="H426" s="10">
        <v>170</v>
      </c>
      <c r="I426" s="3">
        <v>45070</v>
      </c>
      <c r="J426" s="3" t="s">
        <v>2358</v>
      </c>
      <c r="K426" s="8">
        <v>3</v>
      </c>
    </row>
    <row r="427" spans="1:11" x14ac:dyDescent="0.25">
      <c r="A427" s="2" t="s">
        <v>872</v>
      </c>
      <c r="B427" s="5" t="s">
        <v>873</v>
      </c>
      <c r="C427" s="2" t="s">
        <v>32</v>
      </c>
      <c r="D427" s="1" t="s">
        <v>11</v>
      </c>
      <c r="E427" s="7">
        <v>1</v>
      </c>
      <c r="F427" s="12">
        <v>135</v>
      </c>
      <c r="G427" s="7">
        <v>0</v>
      </c>
      <c r="H427" s="10">
        <v>135</v>
      </c>
      <c r="I427" s="3">
        <v>45070</v>
      </c>
      <c r="J427" s="3" t="s">
        <v>2355</v>
      </c>
      <c r="K427" s="8">
        <v>1</v>
      </c>
    </row>
    <row r="428" spans="1:11" x14ac:dyDescent="0.25">
      <c r="A428" s="2" t="s">
        <v>874</v>
      </c>
      <c r="B428" s="5" t="s">
        <v>875</v>
      </c>
      <c r="C428" s="2" t="s">
        <v>19</v>
      </c>
      <c r="D428" s="1" t="s">
        <v>11</v>
      </c>
      <c r="E428" s="7">
        <v>2</v>
      </c>
      <c r="F428" s="12">
        <v>130</v>
      </c>
      <c r="G428" s="7">
        <v>5</v>
      </c>
      <c r="H428" s="10">
        <v>255</v>
      </c>
      <c r="I428" s="3">
        <v>45070</v>
      </c>
      <c r="J428" s="3" t="s">
        <v>2355</v>
      </c>
      <c r="K428" s="8">
        <v>2</v>
      </c>
    </row>
    <row r="429" spans="1:11" x14ac:dyDescent="0.25">
      <c r="A429" s="2" t="s">
        <v>876</v>
      </c>
      <c r="B429" s="5" t="s">
        <v>877</v>
      </c>
      <c r="C429" s="2" t="s">
        <v>93</v>
      </c>
      <c r="D429" s="1" t="s">
        <v>11</v>
      </c>
      <c r="E429" s="7">
        <v>2</v>
      </c>
      <c r="F429" s="12">
        <v>85</v>
      </c>
      <c r="G429" s="7">
        <v>0</v>
      </c>
      <c r="H429" s="10">
        <v>170</v>
      </c>
      <c r="I429" s="3">
        <v>45070</v>
      </c>
      <c r="J429" s="3" t="s">
        <v>2358</v>
      </c>
      <c r="K429" s="8">
        <v>3</v>
      </c>
    </row>
    <row r="430" spans="1:11" x14ac:dyDescent="0.25">
      <c r="A430" s="2" t="s">
        <v>878</v>
      </c>
      <c r="B430" s="5" t="s">
        <v>879</v>
      </c>
      <c r="C430" s="2" t="s">
        <v>32</v>
      </c>
      <c r="D430" s="1" t="s">
        <v>11</v>
      </c>
      <c r="E430" s="7">
        <v>1</v>
      </c>
      <c r="F430" s="12">
        <v>135</v>
      </c>
      <c r="G430" s="7">
        <v>0</v>
      </c>
      <c r="H430" s="10">
        <v>135</v>
      </c>
      <c r="I430" s="3">
        <v>45070</v>
      </c>
      <c r="J430" s="3" t="s">
        <v>2355</v>
      </c>
      <c r="K430" s="8">
        <v>4</v>
      </c>
    </row>
    <row r="431" spans="1:11" x14ac:dyDescent="0.25">
      <c r="A431" s="2" t="s">
        <v>880</v>
      </c>
      <c r="B431" s="5" t="s">
        <v>881</v>
      </c>
      <c r="C431" s="2" t="s">
        <v>93</v>
      </c>
      <c r="D431" s="1" t="s">
        <v>11</v>
      </c>
      <c r="E431" s="7">
        <v>2</v>
      </c>
      <c r="F431" s="12">
        <v>85</v>
      </c>
      <c r="G431" s="7">
        <v>0</v>
      </c>
      <c r="H431" s="10">
        <v>170</v>
      </c>
      <c r="I431" s="3">
        <v>45070</v>
      </c>
      <c r="J431" s="3" t="s">
        <v>2358</v>
      </c>
      <c r="K431" s="8">
        <v>3</v>
      </c>
    </row>
    <row r="432" spans="1:11" x14ac:dyDescent="0.25">
      <c r="A432" s="2" t="s">
        <v>882</v>
      </c>
      <c r="B432" s="5" t="s">
        <v>883</v>
      </c>
      <c r="C432" s="2" t="s">
        <v>32</v>
      </c>
      <c r="D432" s="1" t="s">
        <v>11</v>
      </c>
      <c r="E432" s="7">
        <v>1</v>
      </c>
      <c r="F432" s="12">
        <v>135</v>
      </c>
      <c r="G432" s="7">
        <v>0</v>
      </c>
      <c r="H432" s="10">
        <v>135</v>
      </c>
      <c r="I432" s="3">
        <v>45070</v>
      </c>
      <c r="J432" s="3" t="s">
        <v>2355</v>
      </c>
      <c r="K432" s="8">
        <v>2</v>
      </c>
    </row>
    <row r="433" spans="1:11" x14ac:dyDescent="0.25">
      <c r="A433" s="2" t="s">
        <v>884</v>
      </c>
      <c r="B433" s="5" t="s">
        <v>885</v>
      </c>
      <c r="C433" s="2" t="s">
        <v>47</v>
      </c>
      <c r="D433" s="1" t="s">
        <v>11</v>
      </c>
      <c r="E433" s="7">
        <v>1</v>
      </c>
      <c r="F433" s="12">
        <v>190</v>
      </c>
      <c r="G433" s="7">
        <v>0</v>
      </c>
      <c r="H433" s="10">
        <v>190</v>
      </c>
      <c r="I433" s="3">
        <v>45073</v>
      </c>
      <c r="J433" s="3" t="s">
        <v>2362</v>
      </c>
      <c r="K433" s="8">
        <v>3</v>
      </c>
    </row>
    <row r="434" spans="1:11" x14ac:dyDescent="0.25">
      <c r="A434" s="2" t="s">
        <v>886</v>
      </c>
      <c r="B434" s="5" t="s">
        <v>887</v>
      </c>
      <c r="C434" s="2" t="s">
        <v>47</v>
      </c>
      <c r="D434" s="1" t="s">
        <v>11</v>
      </c>
      <c r="E434" s="7">
        <v>1</v>
      </c>
      <c r="F434" s="12">
        <v>190</v>
      </c>
      <c r="G434" s="7">
        <v>0</v>
      </c>
      <c r="H434" s="10">
        <v>190</v>
      </c>
      <c r="I434" s="3">
        <v>45073</v>
      </c>
      <c r="J434" s="3" t="s">
        <v>2362</v>
      </c>
      <c r="K434" s="8">
        <v>4</v>
      </c>
    </row>
    <row r="435" spans="1:11" x14ac:dyDescent="0.25">
      <c r="A435" s="2" t="s">
        <v>888</v>
      </c>
      <c r="B435" s="5" t="s">
        <v>889</v>
      </c>
      <c r="C435" s="2" t="s">
        <v>47</v>
      </c>
      <c r="D435" s="1" t="s">
        <v>11</v>
      </c>
      <c r="E435" s="7">
        <v>1</v>
      </c>
      <c r="F435" s="12">
        <v>190</v>
      </c>
      <c r="G435" s="7">
        <v>0</v>
      </c>
      <c r="H435" s="10">
        <v>190</v>
      </c>
      <c r="I435" s="3">
        <v>45073</v>
      </c>
      <c r="J435" s="3" t="s">
        <v>2362</v>
      </c>
      <c r="K435" s="8">
        <v>2</v>
      </c>
    </row>
    <row r="436" spans="1:11" x14ac:dyDescent="0.25">
      <c r="A436" s="2" t="s">
        <v>890</v>
      </c>
      <c r="B436" s="5" t="s">
        <v>891</v>
      </c>
      <c r="C436" s="2" t="s">
        <v>93</v>
      </c>
      <c r="D436" s="1" t="s">
        <v>11</v>
      </c>
      <c r="E436" s="7">
        <v>1</v>
      </c>
      <c r="F436" s="12">
        <v>85</v>
      </c>
      <c r="G436" s="7">
        <v>0</v>
      </c>
      <c r="H436" s="10">
        <v>85</v>
      </c>
      <c r="I436" s="3">
        <v>45075</v>
      </c>
      <c r="J436" s="3" t="s">
        <v>2364</v>
      </c>
      <c r="K436" s="8">
        <v>4</v>
      </c>
    </row>
    <row r="437" spans="1:11" x14ac:dyDescent="0.25">
      <c r="A437" s="2" t="s">
        <v>892</v>
      </c>
      <c r="B437" s="5" t="s">
        <v>893</v>
      </c>
      <c r="C437" s="2" t="s">
        <v>136</v>
      </c>
      <c r="D437" s="1" t="s">
        <v>137</v>
      </c>
      <c r="E437" s="7">
        <v>1</v>
      </c>
      <c r="F437" s="12">
        <v>220</v>
      </c>
      <c r="G437" s="7">
        <v>0</v>
      </c>
      <c r="H437" s="10">
        <v>220</v>
      </c>
      <c r="I437" s="3">
        <v>45075</v>
      </c>
      <c r="J437" s="3" t="s">
        <v>2365</v>
      </c>
      <c r="K437" s="8">
        <v>2</v>
      </c>
    </row>
    <row r="438" spans="1:11" x14ac:dyDescent="0.25">
      <c r="A438" s="2" t="s">
        <v>894</v>
      </c>
      <c r="B438" s="5" t="s">
        <v>895</v>
      </c>
      <c r="C438" s="2" t="s">
        <v>19</v>
      </c>
      <c r="D438" s="1" t="s">
        <v>11</v>
      </c>
      <c r="E438" s="7">
        <v>2</v>
      </c>
      <c r="F438" s="12">
        <v>130</v>
      </c>
      <c r="G438" s="7">
        <v>5</v>
      </c>
      <c r="H438" s="10">
        <v>255</v>
      </c>
      <c r="I438" s="3">
        <v>45075</v>
      </c>
      <c r="J438" s="3" t="s">
        <v>2366</v>
      </c>
      <c r="K438" s="8">
        <v>4</v>
      </c>
    </row>
    <row r="439" spans="1:11" x14ac:dyDescent="0.25">
      <c r="A439" s="2" t="s">
        <v>896</v>
      </c>
      <c r="B439" s="5" t="s">
        <v>897</v>
      </c>
      <c r="C439" s="2" t="s">
        <v>93</v>
      </c>
      <c r="D439" s="1" t="s">
        <v>11</v>
      </c>
      <c r="E439" s="7">
        <v>1</v>
      </c>
      <c r="F439" s="12">
        <v>85</v>
      </c>
      <c r="G439" s="7">
        <v>0</v>
      </c>
      <c r="H439" s="10">
        <v>85</v>
      </c>
      <c r="I439" s="3">
        <v>45075</v>
      </c>
      <c r="J439" s="3" t="s">
        <v>2364</v>
      </c>
      <c r="K439" s="8">
        <v>4</v>
      </c>
    </row>
    <row r="440" spans="1:11" x14ac:dyDescent="0.25">
      <c r="A440" s="2" t="s">
        <v>898</v>
      </c>
      <c r="B440" s="5" t="s">
        <v>899</v>
      </c>
      <c r="C440" s="2" t="s">
        <v>136</v>
      </c>
      <c r="D440" s="1" t="s">
        <v>137</v>
      </c>
      <c r="E440" s="7">
        <v>1</v>
      </c>
      <c r="F440" s="12">
        <v>220</v>
      </c>
      <c r="G440" s="7">
        <v>0</v>
      </c>
      <c r="H440" s="10">
        <v>220</v>
      </c>
      <c r="I440" s="3">
        <v>45075</v>
      </c>
      <c r="J440" s="3" t="s">
        <v>2365</v>
      </c>
      <c r="K440" s="8">
        <v>4</v>
      </c>
    </row>
    <row r="441" spans="1:11" x14ac:dyDescent="0.25">
      <c r="A441" s="2" t="s">
        <v>900</v>
      </c>
      <c r="B441" s="5" t="s">
        <v>901</v>
      </c>
      <c r="C441" s="2" t="s">
        <v>19</v>
      </c>
      <c r="D441" s="1" t="s">
        <v>11</v>
      </c>
      <c r="E441" s="7">
        <v>2</v>
      </c>
      <c r="F441" s="12">
        <v>130</v>
      </c>
      <c r="G441" s="7">
        <v>5</v>
      </c>
      <c r="H441" s="10">
        <v>255</v>
      </c>
      <c r="I441" s="3">
        <v>45075</v>
      </c>
      <c r="J441" s="3" t="s">
        <v>2366</v>
      </c>
      <c r="K441" s="8">
        <v>4</v>
      </c>
    </row>
    <row r="442" spans="1:11" x14ac:dyDescent="0.25">
      <c r="A442" s="2" t="s">
        <v>902</v>
      </c>
      <c r="B442" s="5" t="s">
        <v>903</v>
      </c>
      <c r="C442" s="2" t="s">
        <v>19</v>
      </c>
      <c r="D442" s="1" t="s">
        <v>11</v>
      </c>
      <c r="E442" s="7">
        <v>2</v>
      </c>
      <c r="F442" s="12">
        <v>130</v>
      </c>
      <c r="G442" s="7">
        <v>5</v>
      </c>
      <c r="H442" s="10">
        <v>255</v>
      </c>
      <c r="I442" s="3">
        <v>45075</v>
      </c>
      <c r="J442" s="3" t="s">
        <v>2366</v>
      </c>
      <c r="K442" s="8">
        <v>1</v>
      </c>
    </row>
    <row r="443" spans="1:11" x14ac:dyDescent="0.25">
      <c r="A443" s="2" t="s">
        <v>904</v>
      </c>
      <c r="B443" s="5" t="s">
        <v>905</v>
      </c>
      <c r="C443" s="2" t="s">
        <v>47</v>
      </c>
      <c r="D443" s="1" t="s">
        <v>11</v>
      </c>
      <c r="E443" s="7">
        <v>2</v>
      </c>
      <c r="F443" s="12">
        <v>190</v>
      </c>
      <c r="G443" s="7">
        <v>0</v>
      </c>
      <c r="H443" s="10">
        <v>380</v>
      </c>
      <c r="I443" s="3">
        <v>45076</v>
      </c>
      <c r="J443" s="3" t="s">
        <v>2368</v>
      </c>
      <c r="K443" s="8">
        <v>4</v>
      </c>
    </row>
    <row r="444" spans="1:11" x14ac:dyDescent="0.25">
      <c r="A444" s="2" t="s">
        <v>906</v>
      </c>
      <c r="B444" s="5" t="s">
        <v>907</v>
      </c>
      <c r="C444" s="2" t="s">
        <v>47</v>
      </c>
      <c r="D444" s="1" t="s">
        <v>11</v>
      </c>
      <c r="E444" s="7">
        <v>2</v>
      </c>
      <c r="F444" s="12">
        <v>190</v>
      </c>
      <c r="G444" s="7">
        <v>0</v>
      </c>
      <c r="H444" s="10">
        <v>380</v>
      </c>
      <c r="I444" s="3">
        <v>45076</v>
      </c>
      <c r="J444" s="3" t="s">
        <v>2368</v>
      </c>
      <c r="K444" s="8">
        <v>1</v>
      </c>
    </row>
    <row r="445" spans="1:11" x14ac:dyDescent="0.25">
      <c r="A445" s="2" t="s">
        <v>908</v>
      </c>
      <c r="B445" s="5" t="s">
        <v>909</v>
      </c>
      <c r="C445" s="2" t="s">
        <v>19</v>
      </c>
      <c r="D445" s="1" t="s">
        <v>11</v>
      </c>
      <c r="E445" s="7">
        <v>2</v>
      </c>
      <c r="F445" s="12">
        <v>130</v>
      </c>
      <c r="G445" s="7">
        <v>0</v>
      </c>
      <c r="H445" s="10">
        <v>260</v>
      </c>
      <c r="I445" s="3">
        <v>45077</v>
      </c>
      <c r="J445" s="3" t="s">
        <v>2365</v>
      </c>
      <c r="K445" s="8">
        <v>4</v>
      </c>
    </row>
    <row r="446" spans="1:11" x14ac:dyDescent="0.25">
      <c r="A446" s="2" t="s">
        <v>910</v>
      </c>
      <c r="B446" s="5" t="s">
        <v>911</v>
      </c>
      <c r="C446" s="2" t="s">
        <v>19</v>
      </c>
      <c r="D446" s="1" t="s">
        <v>11</v>
      </c>
      <c r="E446" s="7">
        <v>1</v>
      </c>
      <c r="F446" s="12">
        <v>130</v>
      </c>
      <c r="G446" s="7">
        <v>5</v>
      </c>
      <c r="H446" s="10">
        <v>125</v>
      </c>
      <c r="I446" s="3">
        <v>45077</v>
      </c>
      <c r="J446" s="3" t="s">
        <v>2368</v>
      </c>
      <c r="K446" s="8">
        <v>1</v>
      </c>
    </row>
    <row r="447" spans="1:11" x14ac:dyDescent="0.25">
      <c r="A447" s="2" t="s">
        <v>912</v>
      </c>
      <c r="B447" s="5" t="s">
        <v>913</v>
      </c>
      <c r="C447" s="2" t="s">
        <v>19</v>
      </c>
      <c r="D447" s="1" t="s">
        <v>11</v>
      </c>
      <c r="E447" s="7">
        <v>2</v>
      </c>
      <c r="F447" s="12">
        <v>130</v>
      </c>
      <c r="G447" s="7">
        <v>0</v>
      </c>
      <c r="H447" s="10">
        <v>260</v>
      </c>
      <c r="I447" s="3">
        <v>45077</v>
      </c>
      <c r="J447" s="3" t="s">
        <v>2365</v>
      </c>
      <c r="K447" s="8">
        <v>1</v>
      </c>
    </row>
    <row r="448" spans="1:11" x14ac:dyDescent="0.25">
      <c r="A448" s="2" t="s">
        <v>914</v>
      </c>
      <c r="B448" s="5" t="s">
        <v>915</v>
      </c>
      <c r="C448" s="2" t="s">
        <v>19</v>
      </c>
      <c r="D448" s="1" t="s">
        <v>11</v>
      </c>
      <c r="E448" s="7">
        <v>1</v>
      </c>
      <c r="F448" s="12">
        <v>130</v>
      </c>
      <c r="G448" s="7">
        <v>5</v>
      </c>
      <c r="H448" s="10">
        <v>125</v>
      </c>
      <c r="I448" s="3">
        <v>45077</v>
      </c>
      <c r="J448" s="3" t="s">
        <v>2368</v>
      </c>
      <c r="K448" s="8">
        <v>1</v>
      </c>
    </row>
    <row r="449" spans="1:11" x14ac:dyDescent="0.25">
      <c r="A449" s="2" t="s">
        <v>916</v>
      </c>
      <c r="B449" s="5" t="s">
        <v>917</v>
      </c>
      <c r="C449" s="2" t="s">
        <v>19</v>
      </c>
      <c r="D449" s="1" t="s">
        <v>11</v>
      </c>
      <c r="E449" s="7">
        <v>1</v>
      </c>
      <c r="F449" s="12">
        <v>130</v>
      </c>
      <c r="G449" s="7">
        <v>10</v>
      </c>
      <c r="H449" s="10">
        <v>120</v>
      </c>
      <c r="I449" s="3">
        <v>44932</v>
      </c>
      <c r="J449" s="3" t="s">
        <v>2370</v>
      </c>
      <c r="K449" s="8">
        <v>2</v>
      </c>
    </row>
    <row r="450" spans="1:11" x14ac:dyDescent="0.25">
      <c r="A450" s="2" t="s">
        <v>918</v>
      </c>
      <c r="B450" s="5" t="s">
        <v>919</v>
      </c>
      <c r="C450" s="2" t="s">
        <v>19</v>
      </c>
      <c r="D450" s="1" t="s">
        <v>11</v>
      </c>
      <c r="E450" s="7">
        <v>2</v>
      </c>
      <c r="F450" s="12">
        <v>130</v>
      </c>
      <c r="G450" s="7">
        <v>5</v>
      </c>
      <c r="H450" s="10">
        <v>255</v>
      </c>
      <c r="I450" s="3">
        <v>44932</v>
      </c>
      <c r="J450" s="3" t="s">
        <v>2364</v>
      </c>
      <c r="K450" s="8">
        <v>1</v>
      </c>
    </row>
    <row r="451" spans="1:11" x14ac:dyDescent="0.25">
      <c r="A451" s="2" t="s">
        <v>920</v>
      </c>
      <c r="B451" s="5" t="s">
        <v>921</v>
      </c>
      <c r="C451" s="2" t="s">
        <v>19</v>
      </c>
      <c r="D451" s="1" t="s">
        <v>11</v>
      </c>
      <c r="E451" s="7">
        <v>1</v>
      </c>
      <c r="F451" s="12">
        <v>130</v>
      </c>
      <c r="G451" s="7">
        <v>5</v>
      </c>
      <c r="H451" s="10">
        <v>125</v>
      </c>
      <c r="I451" s="3">
        <v>44932</v>
      </c>
      <c r="J451" s="3" t="s">
        <v>2371</v>
      </c>
      <c r="K451" s="8">
        <v>3</v>
      </c>
    </row>
    <row r="452" spans="1:11" x14ac:dyDescent="0.25">
      <c r="A452" s="2" t="s">
        <v>922</v>
      </c>
      <c r="B452" s="5" t="s">
        <v>923</v>
      </c>
      <c r="C452" s="2" t="s">
        <v>19</v>
      </c>
      <c r="D452" s="1" t="s">
        <v>11</v>
      </c>
      <c r="E452" s="7">
        <v>1</v>
      </c>
      <c r="F452" s="12">
        <v>130</v>
      </c>
      <c r="G452" s="7">
        <v>0</v>
      </c>
      <c r="H452" s="10">
        <v>130</v>
      </c>
      <c r="I452" s="3">
        <v>44932</v>
      </c>
      <c r="J452" s="3" t="s">
        <v>2370</v>
      </c>
      <c r="K452" s="8">
        <v>4</v>
      </c>
    </row>
    <row r="453" spans="1:11" x14ac:dyDescent="0.25">
      <c r="A453" s="2" t="s">
        <v>924</v>
      </c>
      <c r="B453" s="5" t="s">
        <v>925</v>
      </c>
      <c r="C453" s="2" t="s">
        <v>19</v>
      </c>
      <c r="D453" s="1" t="s">
        <v>11</v>
      </c>
      <c r="E453" s="7">
        <v>1</v>
      </c>
      <c r="F453" s="12">
        <v>130</v>
      </c>
      <c r="G453" s="7">
        <v>10</v>
      </c>
      <c r="H453" s="10">
        <v>120</v>
      </c>
      <c r="I453" s="3">
        <v>44932</v>
      </c>
      <c r="J453" s="3" t="s">
        <v>2370</v>
      </c>
      <c r="K453" s="8">
        <v>1</v>
      </c>
    </row>
    <row r="454" spans="1:11" x14ac:dyDescent="0.25">
      <c r="A454" s="2" t="s">
        <v>926</v>
      </c>
      <c r="B454" s="5" t="s">
        <v>927</v>
      </c>
      <c r="C454" s="2" t="s">
        <v>19</v>
      </c>
      <c r="D454" s="1" t="s">
        <v>11</v>
      </c>
      <c r="E454" s="7">
        <v>2</v>
      </c>
      <c r="F454" s="12">
        <v>130</v>
      </c>
      <c r="G454" s="7">
        <v>5</v>
      </c>
      <c r="H454" s="10">
        <v>255</v>
      </c>
      <c r="I454" s="3">
        <v>44932</v>
      </c>
      <c r="J454" s="3" t="s">
        <v>2364</v>
      </c>
      <c r="K454" s="8">
        <v>3</v>
      </c>
    </row>
    <row r="455" spans="1:11" x14ac:dyDescent="0.25">
      <c r="A455" s="2" t="s">
        <v>928</v>
      </c>
      <c r="B455" s="5" t="s">
        <v>929</v>
      </c>
      <c r="C455" s="2" t="s">
        <v>19</v>
      </c>
      <c r="D455" s="1" t="s">
        <v>11</v>
      </c>
      <c r="E455" s="7">
        <v>1</v>
      </c>
      <c r="F455" s="12">
        <v>130</v>
      </c>
      <c r="G455" s="7">
        <v>5</v>
      </c>
      <c r="H455" s="10">
        <v>125</v>
      </c>
      <c r="I455" s="3">
        <v>44932</v>
      </c>
      <c r="J455" s="3" t="s">
        <v>2371</v>
      </c>
      <c r="K455" s="8">
        <v>1</v>
      </c>
    </row>
    <row r="456" spans="1:11" x14ac:dyDescent="0.25">
      <c r="A456" s="2" t="s">
        <v>930</v>
      </c>
      <c r="B456" s="5" t="s">
        <v>931</v>
      </c>
      <c r="C456" s="2" t="s">
        <v>19</v>
      </c>
      <c r="D456" s="1" t="s">
        <v>11</v>
      </c>
      <c r="E456" s="7">
        <v>1</v>
      </c>
      <c r="F456" s="12">
        <v>130</v>
      </c>
      <c r="G456" s="7">
        <v>0</v>
      </c>
      <c r="H456" s="10">
        <v>130</v>
      </c>
      <c r="I456" s="3">
        <v>44932</v>
      </c>
      <c r="J456" s="3" t="s">
        <v>2370</v>
      </c>
      <c r="K456" s="8">
        <v>2</v>
      </c>
    </row>
    <row r="457" spans="1:11" x14ac:dyDescent="0.25">
      <c r="A457" s="2" t="s">
        <v>932</v>
      </c>
      <c r="B457" s="5" t="s">
        <v>933</v>
      </c>
      <c r="C457" s="2" t="s">
        <v>19</v>
      </c>
      <c r="D457" s="1" t="s">
        <v>11</v>
      </c>
      <c r="E457" s="7">
        <v>1</v>
      </c>
      <c r="F457" s="12">
        <v>130</v>
      </c>
      <c r="G457" s="7">
        <v>5</v>
      </c>
      <c r="H457" s="10">
        <v>125</v>
      </c>
      <c r="I457" s="3">
        <v>44932</v>
      </c>
      <c r="J457" s="3" t="s">
        <v>2371</v>
      </c>
      <c r="K457" s="8">
        <v>3</v>
      </c>
    </row>
    <row r="458" spans="1:11" x14ac:dyDescent="0.25">
      <c r="A458" s="2" t="s">
        <v>934</v>
      </c>
      <c r="B458" s="5" t="s">
        <v>935</v>
      </c>
      <c r="C458" s="2" t="s">
        <v>93</v>
      </c>
      <c r="D458" s="1" t="s">
        <v>11</v>
      </c>
      <c r="E458" s="7">
        <v>1</v>
      </c>
      <c r="F458" s="12">
        <v>85</v>
      </c>
      <c r="G458" s="7">
        <v>0</v>
      </c>
      <c r="H458" s="10">
        <v>85</v>
      </c>
      <c r="I458" s="3">
        <v>44963</v>
      </c>
      <c r="J458" s="3" t="s">
        <v>2371</v>
      </c>
      <c r="K458" s="8">
        <v>2</v>
      </c>
    </row>
    <row r="459" spans="1:11" x14ac:dyDescent="0.25">
      <c r="A459" s="2" t="s">
        <v>936</v>
      </c>
      <c r="B459" s="5" t="s">
        <v>937</v>
      </c>
      <c r="C459" s="2" t="s">
        <v>32</v>
      </c>
      <c r="D459" s="1" t="s">
        <v>11</v>
      </c>
      <c r="E459" s="7">
        <v>1</v>
      </c>
      <c r="F459" s="12">
        <v>135</v>
      </c>
      <c r="G459" s="7">
        <v>0</v>
      </c>
      <c r="H459" s="10">
        <v>135</v>
      </c>
      <c r="I459" s="3">
        <v>44963</v>
      </c>
      <c r="J459" s="3" t="s">
        <v>2372</v>
      </c>
      <c r="K459" s="8">
        <v>2</v>
      </c>
    </row>
    <row r="460" spans="1:11" x14ac:dyDescent="0.25">
      <c r="A460" s="2" t="s">
        <v>938</v>
      </c>
      <c r="B460" s="5" t="s">
        <v>939</v>
      </c>
      <c r="C460" s="2" t="s">
        <v>93</v>
      </c>
      <c r="D460" s="1" t="s">
        <v>11</v>
      </c>
      <c r="E460" s="7">
        <v>1</v>
      </c>
      <c r="F460" s="12">
        <v>85</v>
      </c>
      <c r="G460" s="7">
        <v>0</v>
      </c>
      <c r="H460" s="10">
        <v>85</v>
      </c>
      <c r="I460" s="3">
        <v>44963</v>
      </c>
      <c r="J460" s="3" t="s">
        <v>2371</v>
      </c>
      <c r="K460" s="8">
        <v>4</v>
      </c>
    </row>
    <row r="461" spans="1:11" x14ac:dyDescent="0.25">
      <c r="A461" s="2" t="s">
        <v>940</v>
      </c>
      <c r="B461" s="5" t="s">
        <v>941</v>
      </c>
      <c r="C461" s="2" t="s">
        <v>32</v>
      </c>
      <c r="D461" s="1" t="s">
        <v>11</v>
      </c>
      <c r="E461" s="7">
        <v>1</v>
      </c>
      <c r="F461" s="12">
        <v>135</v>
      </c>
      <c r="G461" s="7">
        <v>0</v>
      </c>
      <c r="H461" s="10">
        <v>135</v>
      </c>
      <c r="I461" s="3">
        <v>44963</v>
      </c>
      <c r="J461" s="3" t="s">
        <v>2372</v>
      </c>
      <c r="K461" s="8">
        <v>2</v>
      </c>
    </row>
    <row r="462" spans="1:11" x14ac:dyDescent="0.25">
      <c r="A462" s="2" t="s">
        <v>942</v>
      </c>
      <c r="B462" s="5" t="s">
        <v>943</v>
      </c>
      <c r="C462" s="2" t="s">
        <v>19</v>
      </c>
      <c r="D462" s="1" t="s">
        <v>11</v>
      </c>
      <c r="E462" s="7">
        <v>1</v>
      </c>
      <c r="F462" s="12">
        <v>130</v>
      </c>
      <c r="G462" s="7">
        <v>0</v>
      </c>
      <c r="H462" s="10">
        <v>130</v>
      </c>
      <c r="I462" s="3">
        <v>45022</v>
      </c>
      <c r="J462" s="3" t="s">
        <v>2373</v>
      </c>
      <c r="K462" s="8">
        <v>4</v>
      </c>
    </row>
    <row r="463" spans="1:11" x14ac:dyDescent="0.25">
      <c r="A463" s="2" t="s">
        <v>944</v>
      </c>
      <c r="B463" s="5" t="s">
        <v>945</v>
      </c>
      <c r="C463" s="2" t="s">
        <v>19</v>
      </c>
      <c r="D463" s="1" t="s">
        <v>11</v>
      </c>
      <c r="E463" s="7">
        <v>1</v>
      </c>
      <c r="F463" s="12">
        <v>130</v>
      </c>
      <c r="G463" s="7">
        <v>0</v>
      </c>
      <c r="H463" s="10">
        <v>130</v>
      </c>
      <c r="I463" s="3">
        <v>45022</v>
      </c>
      <c r="J463" s="3" t="s">
        <v>2373</v>
      </c>
      <c r="K463" s="8">
        <v>4</v>
      </c>
    </row>
    <row r="464" spans="1:11" x14ac:dyDescent="0.25">
      <c r="A464" s="2" t="s">
        <v>946</v>
      </c>
      <c r="B464" s="5" t="s">
        <v>947</v>
      </c>
      <c r="C464" s="2" t="s">
        <v>136</v>
      </c>
      <c r="D464" s="1" t="s">
        <v>137</v>
      </c>
      <c r="E464" s="7">
        <v>1</v>
      </c>
      <c r="F464" s="12">
        <v>220</v>
      </c>
      <c r="G464" s="7">
        <v>0</v>
      </c>
      <c r="H464" s="10">
        <v>220</v>
      </c>
      <c r="I464" s="3">
        <v>45052</v>
      </c>
      <c r="J464" s="3" t="s">
        <v>2371</v>
      </c>
      <c r="K464" s="8">
        <v>2</v>
      </c>
    </row>
    <row r="465" spans="1:11" x14ac:dyDescent="0.25">
      <c r="A465" s="2" t="s">
        <v>948</v>
      </c>
      <c r="B465" s="5" t="s">
        <v>949</v>
      </c>
      <c r="C465" s="2" t="s">
        <v>136</v>
      </c>
      <c r="D465" s="1" t="s">
        <v>137</v>
      </c>
      <c r="E465" s="7">
        <v>1</v>
      </c>
      <c r="F465" s="12">
        <v>220</v>
      </c>
      <c r="G465" s="7">
        <v>0</v>
      </c>
      <c r="H465" s="10">
        <v>220</v>
      </c>
      <c r="I465" s="3">
        <v>45052</v>
      </c>
      <c r="J465" s="3" t="s">
        <v>2371</v>
      </c>
      <c r="K465" s="8">
        <v>3</v>
      </c>
    </row>
    <row r="466" spans="1:11" x14ac:dyDescent="0.25">
      <c r="A466" s="2" t="s">
        <v>950</v>
      </c>
      <c r="B466" s="5" t="s">
        <v>951</v>
      </c>
      <c r="C466" s="2" t="s">
        <v>32</v>
      </c>
      <c r="D466" s="1" t="s">
        <v>11</v>
      </c>
      <c r="E466" s="7">
        <v>3</v>
      </c>
      <c r="F466" s="12">
        <v>135</v>
      </c>
      <c r="G466" s="7">
        <v>0</v>
      </c>
      <c r="H466" s="10">
        <v>405</v>
      </c>
      <c r="I466" s="3">
        <v>45083</v>
      </c>
      <c r="J466" s="3" t="s">
        <v>2374</v>
      </c>
      <c r="K466" s="8">
        <v>2</v>
      </c>
    </row>
    <row r="467" spans="1:11" x14ac:dyDescent="0.25">
      <c r="A467" s="2" t="s">
        <v>952</v>
      </c>
      <c r="B467" s="5" t="s">
        <v>953</v>
      </c>
      <c r="C467" s="2" t="s">
        <v>32</v>
      </c>
      <c r="D467" s="1" t="s">
        <v>11</v>
      </c>
      <c r="E467" s="7">
        <v>3</v>
      </c>
      <c r="F467" s="12">
        <v>135</v>
      </c>
      <c r="G467" s="7">
        <v>0</v>
      </c>
      <c r="H467" s="10">
        <v>405</v>
      </c>
      <c r="I467" s="3">
        <v>45083</v>
      </c>
      <c r="J467" s="3" t="s">
        <v>2374</v>
      </c>
      <c r="K467" s="8">
        <v>3</v>
      </c>
    </row>
    <row r="468" spans="1:11" x14ac:dyDescent="0.25">
      <c r="A468" s="2" t="s">
        <v>954</v>
      </c>
      <c r="B468" s="5" t="s">
        <v>955</v>
      </c>
      <c r="C468" s="2" t="s">
        <v>32</v>
      </c>
      <c r="D468" s="1" t="s">
        <v>11</v>
      </c>
      <c r="E468" s="7">
        <v>1</v>
      </c>
      <c r="F468" s="12">
        <v>135</v>
      </c>
      <c r="G468" s="7">
        <v>10</v>
      </c>
      <c r="H468" s="10">
        <v>125</v>
      </c>
      <c r="I468" s="3">
        <v>45144</v>
      </c>
      <c r="J468" s="3" t="s">
        <v>2374</v>
      </c>
      <c r="K468" s="8">
        <v>1</v>
      </c>
    </row>
    <row r="469" spans="1:11" x14ac:dyDescent="0.25">
      <c r="A469" s="2" t="s">
        <v>956</v>
      </c>
      <c r="B469" s="5" t="s">
        <v>957</v>
      </c>
      <c r="C469" s="2" t="s">
        <v>47</v>
      </c>
      <c r="D469" s="1" t="s">
        <v>11</v>
      </c>
      <c r="E469" s="7">
        <v>1</v>
      </c>
      <c r="F469" s="12">
        <v>190</v>
      </c>
      <c r="G469" s="7">
        <v>5</v>
      </c>
      <c r="H469" s="10">
        <v>185</v>
      </c>
      <c r="I469" s="3">
        <v>45144</v>
      </c>
      <c r="J469" s="3" t="s">
        <v>2375</v>
      </c>
      <c r="K469" s="8">
        <v>3</v>
      </c>
    </row>
    <row r="470" spans="1:11" x14ac:dyDescent="0.25">
      <c r="A470" s="2" t="s">
        <v>958</v>
      </c>
      <c r="B470" s="5" t="s">
        <v>959</v>
      </c>
      <c r="C470" s="2" t="s">
        <v>32</v>
      </c>
      <c r="D470" s="1" t="s">
        <v>11</v>
      </c>
      <c r="E470" s="7">
        <v>1</v>
      </c>
      <c r="F470" s="12">
        <v>135</v>
      </c>
      <c r="G470" s="7">
        <v>10</v>
      </c>
      <c r="H470" s="10">
        <v>125</v>
      </c>
      <c r="I470" s="3">
        <v>45144</v>
      </c>
      <c r="J470" s="3" t="s">
        <v>2374</v>
      </c>
      <c r="K470" s="8">
        <v>4</v>
      </c>
    </row>
    <row r="471" spans="1:11" x14ac:dyDescent="0.25">
      <c r="A471" s="2" t="s">
        <v>960</v>
      </c>
      <c r="B471" s="5" t="s">
        <v>961</v>
      </c>
      <c r="C471" s="2" t="s">
        <v>47</v>
      </c>
      <c r="D471" s="1" t="s">
        <v>11</v>
      </c>
      <c r="E471" s="7">
        <v>1</v>
      </c>
      <c r="F471" s="12">
        <v>190</v>
      </c>
      <c r="G471" s="7">
        <v>5</v>
      </c>
      <c r="H471" s="10">
        <v>185</v>
      </c>
      <c r="I471" s="3">
        <v>45144</v>
      </c>
      <c r="J471" s="3" t="s">
        <v>2375</v>
      </c>
      <c r="K471" s="8">
        <v>4</v>
      </c>
    </row>
    <row r="472" spans="1:11" x14ac:dyDescent="0.25">
      <c r="A472" s="2" t="s">
        <v>962</v>
      </c>
      <c r="B472" s="5" t="s">
        <v>963</v>
      </c>
      <c r="C472" s="2" t="s">
        <v>47</v>
      </c>
      <c r="D472" s="1" t="s">
        <v>11</v>
      </c>
      <c r="E472" s="7">
        <v>1</v>
      </c>
      <c r="F472" s="12">
        <v>190</v>
      </c>
      <c r="G472" s="7">
        <v>5</v>
      </c>
      <c r="H472" s="10">
        <v>185</v>
      </c>
      <c r="I472" s="3">
        <v>45144</v>
      </c>
      <c r="J472" s="3" t="s">
        <v>2375</v>
      </c>
      <c r="K472" s="8">
        <v>1</v>
      </c>
    </row>
    <row r="473" spans="1:11" x14ac:dyDescent="0.25">
      <c r="A473" s="2" t="s">
        <v>964</v>
      </c>
      <c r="B473" s="5" t="s">
        <v>965</v>
      </c>
      <c r="C473" s="2" t="s">
        <v>47</v>
      </c>
      <c r="D473" s="1" t="s">
        <v>11</v>
      </c>
      <c r="E473" s="7">
        <v>1</v>
      </c>
      <c r="F473" s="12">
        <v>190</v>
      </c>
      <c r="G473" s="7">
        <v>10</v>
      </c>
      <c r="H473" s="10">
        <v>180</v>
      </c>
      <c r="I473" s="3">
        <v>45175</v>
      </c>
      <c r="J473" s="3" t="s">
        <v>2374</v>
      </c>
      <c r="K473" s="8">
        <v>3</v>
      </c>
    </row>
    <row r="474" spans="1:11" x14ac:dyDescent="0.25">
      <c r="A474" s="2" t="s">
        <v>966</v>
      </c>
      <c r="B474" s="5" t="s">
        <v>967</v>
      </c>
      <c r="C474" s="2" t="s">
        <v>47</v>
      </c>
      <c r="D474" s="1" t="s">
        <v>11</v>
      </c>
      <c r="E474" s="7">
        <v>1</v>
      </c>
      <c r="F474" s="12">
        <v>190</v>
      </c>
      <c r="G474" s="7">
        <v>10</v>
      </c>
      <c r="H474" s="10">
        <v>180</v>
      </c>
      <c r="I474" s="3">
        <v>45175</v>
      </c>
      <c r="J474" s="3" t="s">
        <v>2374</v>
      </c>
      <c r="K474" s="8">
        <v>2</v>
      </c>
    </row>
    <row r="475" spans="1:11" x14ac:dyDescent="0.25">
      <c r="A475" s="2" t="s">
        <v>968</v>
      </c>
      <c r="B475" s="5" t="s">
        <v>969</v>
      </c>
      <c r="C475" s="2" t="s">
        <v>47</v>
      </c>
      <c r="D475" s="1" t="s">
        <v>11</v>
      </c>
      <c r="E475" s="7">
        <v>2</v>
      </c>
      <c r="F475" s="12">
        <v>190</v>
      </c>
      <c r="G475" s="7">
        <v>0</v>
      </c>
      <c r="H475" s="10">
        <v>380</v>
      </c>
      <c r="I475" s="3">
        <v>45090</v>
      </c>
      <c r="J475" s="3" t="s">
        <v>2377</v>
      </c>
      <c r="K475" s="8">
        <v>2</v>
      </c>
    </row>
    <row r="476" spans="1:11" x14ac:dyDescent="0.25">
      <c r="A476" s="2" t="s">
        <v>970</v>
      </c>
      <c r="B476" s="5" t="s">
        <v>971</v>
      </c>
      <c r="C476" s="2" t="s">
        <v>19</v>
      </c>
      <c r="D476" s="1" t="s">
        <v>11</v>
      </c>
      <c r="E476" s="7">
        <v>1</v>
      </c>
      <c r="F476" s="12">
        <v>130</v>
      </c>
      <c r="G476" s="7">
        <v>0</v>
      </c>
      <c r="H476" s="10">
        <v>130</v>
      </c>
      <c r="I476" s="3">
        <v>45090</v>
      </c>
      <c r="J476" s="3" t="s">
        <v>2378</v>
      </c>
      <c r="K476" s="8">
        <v>2</v>
      </c>
    </row>
    <row r="477" spans="1:11" x14ac:dyDescent="0.25">
      <c r="A477" s="2" t="s">
        <v>972</v>
      </c>
      <c r="B477" s="5" t="s">
        <v>973</v>
      </c>
      <c r="C477" s="2" t="s">
        <v>47</v>
      </c>
      <c r="D477" s="1" t="s">
        <v>11</v>
      </c>
      <c r="E477" s="7">
        <v>2</v>
      </c>
      <c r="F477" s="12">
        <v>190</v>
      </c>
      <c r="G477" s="7">
        <v>0</v>
      </c>
      <c r="H477" s="10">
        <v>380</v>
      </c>
      <c r="I477" s="3">
        <v>45090</v>
      </c>
      <c r="J477" s="3" t="s">
        <v>2377</v>
      </c>
      <c r="K477" s="8">
        <v>3</v>
      </c>
    </row>
    <row r="478" spans="1:11" x14ac:dyDescent="0.25">
      <c r="A478" s="2" t="s">
        <v>974</v>
      </c>
      <c r="B478" s="5" t="s">
        <v>975</v>
      </c>
      <c r="C478" s="2" t="s">
        <v>19</v>
      </c>
      <c r="D478" s="1" t="s">
        <v>11</v>
      </c>
      <c r="E478" s="7">
        <v>1</v>
      </c>
      <c r="F478" s="12">
        <v>130</v>
      </c>
      <c r="G478" s="7">
        <v>0</v>
      </c>
      <c r="H478" s="10">
        <v>130</v>
      </c>
      <c r="I478" s="3">
        <v>45090</v>
      </c>
      <c r="J478" s="3" t="s">
        <v>2378</v>
      </c>
      <c r="K478" s="8">
        <v>1</v>
      </c>
    </row>
    <row r="479" spans="1:11" x14ac:dyDescent="0.25">
      <c r="A479" s="2" t="s">
        <v>976</v>
      </c>
      <c r="B479" s="5" t="s">
        <v>977</v>
      </c>
      <c r="C479" s="2" t="s">
        <v>19</v>
      </c>
      <c r="D479" s="1" t="s">
        <v>11</v>
      </c>
      <c r="E479" s="7">
        <v>1</v>
      </c>
      <c r="F479" s="12">
        <v>130</v>
      </c>
      <c r="G479" s="7">
        <v>0</v>
      </c>
      <c r="H479" s="10">
        <v>130</v>
      </c>
      <c r="I479" s="3">
        <v>45092</v>
      </c>
      <c r="J479" s="3" t="s">
        <v>2378</v>
      </c>
      <c r="K479" s="8">
        <v>3</v>
      </c>
    </row>
    <row r="480" spans="1:11" x14ac:dyDescent="0.25">
      <c r="A480" s="2" t="s">
        <v>978</v>
      </c>
      <c r="B480" s="5" t="s">
        <v>979</v>
      </c>
      <c r="C480" s="2" t="s">
        <v>19</v>
      </c>
      <c r="D480" s="1" t="s">
        <v>11</v>
      </c>
      <c r="E480" s="7">
        <v>1</v>
      </c>
      <c r="F480" s="12">
        <v>130</v>
      </c>
      <c r="G480" s="7">
        <v>0</v>
      </c>
      <c r="H480" s="10">
        <v>130</v>
      </c>
      <c r="I480" s="3">
        <v>45092</v>
      </c>
      <c r="J480" s="3" t="s">
        <v>2378</v>
      </c>
      <c r="K480" s="8">
        <v>4</v>
      </c>
    </row>
    <row r="481" spans="1:11" x14ac:dyDescent="0.25">
      <c r="A481" s="2" t="s">
        <v>980</v>
      </c>
      <c r="B481" s="5" t="s">
        <v>981</v>
      </c>
      <c r="C481" s="2" t="s">
        <v>47</v>
      </c>
      <c r="D481" s="1" t="s">
        <v>11</v>
      </c>
      <c r="E481" s="7">
        <v>4</v>
      </c>
      <c r="F481" s="12">
        <v>190</v>
      </c>
      <c r="G481" s="7">
        <v>0</v>
      </c>
      <c r="H481" s="10">
        <v>760</v>
      </c>
      <c r="I481" s="3">
        <v>45093</v>
      </c>
      <c r="J481" s="3" t="s">
        <v>2381</v>
      </c>
      <c r="K481" s="8">
        <v>2</v>
      </c>
    </row>
    <row r="482" spans="1:11" x14ac:dyDescent="0.25">
      <c r="A482" s="2" t="s">
        <v>982</v>
      </c>
      <c r="B482" s="5" t="s">
        <v>983</v>
      </c>
      <c r="C482" s="2" t="s">
        <v>19</v>
      </c>
      <c r="D482" s="1" t="s">
        <v>11</v>
      </c>
      <c r="E482" s="7">
        <v>2</v>
      </c>
      <c r="F482" s="12">
        <v>130</v>
      </c>
      <c r="G482" s="7">
        <v>5</v>
      </c>
      <c r="H482" s="10">
        <v>255</v>
      </c>
      <c r="I482" s="3">
        <v>45093</v>
      </c>
      <c r="J482" s="3" t="s">
        <v>2382</v>
      </c>
      <c r="K482" s="8">
        <v>4</v>
      </c>
    </row>
    <row r="483" spans="1:11" x14ac:dyDescent="0.25">
      <c r="A483" s="2" t="s">
        <v>984</v>
      </c>
      <c r="B483" s="5" t="s">
        <v>985</v>
      </c>
      <c r="C483" s="2" t="s">
        <v>47</v>
      </c>
      <c r="D483" s="1" t="s">
        <v>11</v>
      </c>
      <c r="E483" s="7">
        <v>4</v>
      </c>
      <c r="F483" s="12">
        <v>190</v>
      </c>
      <c r="G483" s="7">
        <v>0</v>
      </c>
      <c r="H483" s="10">
        <v>760</v>
      </c>
      <c r="I483" s="3">
        <v>45093</v>
      </c>
      <c r="J483" s="3" t="s">
        <v>2381</v>
      </c>
      <c r="K483" s="8">
        <v>3</v>
      </c>
    </row>
    <row r="484" spans="1:11" x14ac:dyDescent="0.25">
      <c r="A484" s="2" t="s">
        <v>986</v>
      </c>
      <c r="B484" s="5" t="s">
        <v>987</v>
      </c>
      <c r="C484" s="2" t="s">
        <v>19</v>
      </c>
      <c r="D484" s="1" t="s">
        <v>11</v>
      </c>
      <c r="E484" s="7">
        <v>2</v>
      </c>
      <c r="F484" s="12">
        <v>130</v>
      </c>
      <c r="G484" s="7">
        <v>5</v>
      </c>
      <c r="H484" s="10">
        <v>255</v>
      </c>
      <c r="I484" s="3">
        <v>45093</v>
      </c>
      <c r="J484" s="3" t="s">
        <v>2382</v>
      </c>
      <c r="K484" s="8">
        <v>4</v>
      </c>
    </row>
    <row r="485" spans="1:11" x14ac:dyDescent="0.25">
      <c r="A485" s="2" t="s">
        <v>988</v>
      </c>
      <c r="B485" s="5" t="s">
        <v>989</v>
      </c>
      <c r="C485" s="2" t="s">
        <v>47</v>
      </c>
      <c r="D485" s="1" t="s">
        <v>11</v>
      </c>
      <c r="E485" s="7">
        <v>4</v>
      </c>
      <c r="F485" s="12">
        <v>190</v>
      </c>
      <c r="G485" s="7">
        <v>0</v>
      </c>
      <c r="H485" s="10">
        <v>760</v>
      </c>
      <c r="I485" s="3">
        <v>45093</v>
      </c>
      <c r="J485" s="3" t="s">
        <v>2381</v>
      </c>
      <c r="K485" s="8">
        <v>2</v>
      </c>
    </row>
    <row r="486" spans="1:11" x14ac:dyDescent="0.25">
      <c r="A486" s="2" t="s">
        <v>990</v>
      </c>
      <c r="B486" s="5" t="s">
        <v>991</v>
      </c>
      <c r="C486" s="2" t="s">
        <v>19</v>
      </c>
      <c r="D486" s="1" t="s">
        <v>11</v>
      </c>
      <c r="E486" s="7">
        <v>2</v>
      </c>
      <c r="F486" s="12">
        <v>130</v>
      </c>
      <c r="G486" s="7">
        <v>5</v>
      </c>
      <c r="H486" s="10">
        <v>255</v>
      </c>
      <c r="I486" s="3">
        <v>45093</v>
      </c>
      <c r="J486" s="3" t="s">
        <v>2382</v>
      </c>
      <c r="K486" s="8">
        <v>4</v>
      </c>
    </row>
    <row r="487" spans="1:11" x14ac:dyDescent="0.25">
      <c r="A487" s="2" t="s">
        <v>992</v>
      </c>
      <c r="B487" s="5" t="s">
        <v>993</v>
      </c>
      <c r="C487" s="2" t="s">
        <v>47</v>
      </c>
      <c r="D487" s="1" t="s">
        <v>11</v>
      </c>
      <c r="E487" s="7">
        <v>1</v>
      </c>
      <c r="F487" s="12">
        <v>190</v>
      </c>
      <c r="G487" s="7">
        <v>0</v>
      </c>
      <c r="H487" s="10">
        <v>190</v>
      </c>
      <c r="I487" s="3">
        <v>45095</v>
      </c>
      <c r="J487" s="3" t="s">
        <v>2384</v>
      </c>
      <c r="K487" s="8">
        <v>1</v>
      </c>
    </row>
    <row r="488" spans="1:11" x14ac:dyDescent="0.25">
      <c r="A488" s="2" t="s">
        <v>994</v>
      </c>
      <c r="B488" s="5" t="s">
        <v>995</v>
      </c>
      <c r="C488" s="2" t="s">
        <v>32</v>
      </c>
      <c r="D488" s="1" t="s">
        <v>11</v>
      </c>
      <c r="E488" s="7">
        <v>1</v>
      </c>
      <c r="F488" s="12">
        <v>135</v>
      </c>
      <c r="G488" s="7">
        <v>5</v>
      </c>
      <c r="H488" s="10">
        <v>130</v>
      </c>
      <c r="I488" s="3">
        <v>45095</v>
      </c>
      <c r="J488" s="3" t="s">
        <v>2385</v>
      </c>
      <c r="K488" s="8">
        <v>2</v>
      </c>
    </row>
    <row r="489" spans="1:11" x14ac:dyDescent="0.25">
      <c r="A489" s="2" t="s">
        <v>996</v>
      </c>
      <c r="B489" s="5" t="s">
        <v>997</v>
      </c>
      <c r="C489" s="2" t="s">
        <v>47</v>
      </c>
      <c r="D489" s="1" t="s">
        <v>11</v>
      </c>
      <c r="E489" s="7">
        <v>1</v>
      </c>
      <c r="F489" s="12">
        <v>190</v>
      </c>
      <c r="G489" s="7">
        <v>0</v>
      </c>
      <c r="H489" s="10">
        <v>190</v>
      </c>
      <c r="I489" s="3">
        <v>45095</v>
      </c>
      <c r="J489" s="3" t="s">
        <v>2384</v>
      </c>
      <c r="K489" s="8">
        <v>3</v>
      </c>
    </row>
    <row r="490" spans="1:11" x14ac:dyDescent="0.25">
      <c r="A490" s="2" t="s">
        <v>998</v>
      </c>
      <c r="B490" s="5" t="s">
        <v>999</v>
      </c>
      <c r="C490" s="2" t="s">
        <v>32</v>
      </c>
      <c r="D490" s="1" t="s">
        <v>11</v>
      </c>
      <c r="E490" s="7">
        <v>1</v>
      </c>
      <c r="F490" s="12">
        <v>135</v>
      </c>
      <c r="G490" s="7">
        <v>5</v>
      </c>
      <c r="H490" s="10">
        <v>130</v>
      </c>
      <c r="I490" s="3">
        <v>45095</v>
      </c>
      <c r="J490" s="3" t="s">
        <v>2385</v>
      </c>
      <c r="K490" s="8">
        <v>1</v>
      </c>
    </row>
    <row r="491" spans="1:11" x14ac:dyDescent="0.25">
      <c r="A491" s="2" t="s">
        <v>1000</v>
      </c>
      <c r="B491" s="5" t="s">
        <v>1001</v>
      </c>
      <c r="C491" s="2" t="s">
        <v>47</v>
      </c>
      <c r="D491" s="1" t="s">
        <v>11</v>
      </c>
      <c r="E491" s="7">
        <v>1</v>
      </c>
      <c r="F491" s="12">
        <v>190</v>
      </c>
      <c r="G491" s="7">
        <v>0</v>
      </c>
      <c r="H491" s="10">
        <v>190</v>
      </c>
      <c r="I491" s="3">
        <v>45095</v>
      </c>
      <c r="J491" s="3" t="s">
        <v>2384</v>
      </c>
      <c r="K491" s="8">
        <v>2</v>
      </c>
    </row>
    <row r="492" spans="1:11" x14ac:dyDescent="0.25">
      <c r="A492" s="2" t="s">
        <v>1002</v>
      </c>
      <c r="B492" s="5" t="s">
        <v>1003</v>
      </c>
      <c r="C492" s="2" t="s">
        <v>32</v>
      </c>
      <c r="D492" s="1" t="s">
        <v>11</v>
      </c>
      <c r="E492" s="7">
        <v>2</v>
      </c>
      <c r="F492" s="12">
        <v>135</v>
      </c>
      <c r="G492" s="7">
        <v>0</v>
      </c>
      <c r="H492" s="10">
        <v>270</v>
      </c>
      <c r="I492" s="3">
        <v>45097</v>
      </c>
      <c r="J492" s="3" t="s">
        <v>2387</v>
      </c>
      <c r="K492" s="8">
        <v>3</v>
      </c>
    </row>
    <row r="493" spans="1:11" x14ac:dyDescent="0.25">
      <c r="A493" s="2" t="s">
        <v>1004</v>
      </c>
      <c r="B493" s="5" t="s">
        <v>1005</v>
      </c>
      <c r="C493" s="2" t="s">
        <v>32</v>
      </c>
      <c r="D493" s="1" t="s">
        <v>11</v>
      </c>
      <c r="E493" s="7">
        <v>1</v>
      </c>
      <c r="F493" s="12">
        <v>135</v>
      </c>
      <c r="G493" s="7">
        <v>0</v>
      </c>
      <c r="H493" s="10">
        <v>135</v>
      </c>
      <c r="I493" s="3">
        <v>45097</v>
      </c>
      <c r="J493" s="3" t="s">
        <v>2384</v>
      </c>
      <c r="K493" s="8">
        <v>1</v>
      </c>
    </row>
    <row r="494" spans="1:11" x14ac:dyDescent="0.25">
      <c r="A494" s="2" t="s">
        <v>1006</v>
      </c>
      <c r="B494" s="5" t="s">
        <v>1007</v>
      </c>
      <c r="C494" s="2" t="s">
        <v>32</v>
      </c>
      <c r="D494" s="1" t="s">
        <v>11</v>
      </c>
      <c r="E494" s="7">
        <v>2</v>
      </c>
      <c r="F494" s="12">
        <v>135</v>
      </c>
      <c r="G494" s="7">
        <v>0</v>
      </c>
      <c r="H494" s="10">
        <v>270</v>
      </c>
      <c r="I494" s="3">
        <v>45097</v>
      </c>
      <c r="J494" s="3" t="s">
        <v>2387</v>
      </c>
      <c r="K494" s="8">
        <v>2</v>
      </c>
    </row>
    <row r="495" spans="1:11" x14ac:dyDescent="0.25">
      <c r="A495" s="2" t="s">
        <v>1008</v>
      </c>
      <c r="B495" s="5" t="s">
        <v>1009</v>
      </c>
      <c r="C495" s="2" t="s">
        <v>32</v>
      </c>
      <c r="D495" s="1" t="s">
        <v>11</v>
      </c>
      <c r="E495" s="7">
        <v>1</v>
      </c>
      <c r="F495" s="12">
        <v>135</v>
      </c>
      <c r="G495" s="7">
        <v>0</v>
      </c>
      <c r="H495" s="10">
        <v>135</v>
      </c>
      <c r="I495" s="3">
        <v>45097</v>
      </c>
      <c r="J495" s="3" t="s">
        <v>2384</v>
      </c>
      <c r="K495" s="8">
        <v>3</v>
      </c>
    </row>
    <row r="496" spans="1:11" x14ac:dyDescent="0.25">
      <c r="A496" s="2" t="s">
        <v>1010</v>
      </c>
      <c r="B496" s="5" t="s">
        <v>1011</v>
      </c>
      <c r="C496" s="2" t="s">
        <v>19</v>
      </c>
      <c r="D496" s="1" t="s">
        <v>11</v>
      </c>
      <c r="E496" s="7">
        <v>1</v>
      </c>
      <c r="F496" s="12">
        <v>130</v>
      </c>
      <c r="G496" s="7">
        <v>0</v>
      </c>
      <c r="H496" s="10">
        <v>130</v>
      </c>
      <c r="I496" s="3">
        <v>45098</v>
      </c>
      <c r="J496" s="3" t="s">
        <v>2387</v>
      </c>
      <c r="K496" s="8">
        <v>3</v>
      </c>
    </row>
    <row r="497" spans="1:11" x14ac:dyDescent="0.25">
      <c r="A497" s="2" t="s">
        <v>1012</v>
      </c>
      <c r="B497" s="5" t="s">
        <v>1013</v>
      </c>
      <c r="C497" s="2" t="s">
        <v>19</v>
      </c>
      <c r="D497" s="1" t="s">
        <v>11</v>
      </c>
      <c r="E497" s="7">
        <v>1</v>
      </c>
      <c r="F497" s="12">
        <v>130</v>
      </c>
      <c r="G497" s="7">
        <v>0</v>
      </c>
      <c r="H497" s="10">
        <v>130</v>
      </c>
      <c r="I497" s="3">
        <v>45098</v>
      </c>
      <c r="J497" s="3" t="s">
        <v>2384</v>
      </c>
      <c r="K497" s="8">
        <v>1</v>
      </c>
    </row>
    <row r="498" spans="1:11" x14ac:dyDescent="0.25">
      <c r="A498" s="2" t="s">
        <v>1014</v>
      </c>
      <c r="B498" s="5" t="s">
        <v>1015</v>
      </c>
      <c r="C498" s="2" t="s">
        <v>19</v>
      </c>
      <c r="D498" s="1" t="s">
        <v>11</v>
      </c>
      <c r="E498" s="7">
        <v>1</v>
      </c>
      <c r="F498" s="12">
        <v>130</v>
      </c>
      <c r="G498" s="7">
        <v>0</v>
      </c>
      <c r="H498" s="10">
        <v>130</v>
      </c>
      <c r="I498" s="3">
        <v>45098</v>
      </c>
      <c r="J498" s="3" t="s">
        <v>2387</v>
      </c>
      <c r="K498" s="8">
        <v>2</v>
      </c>
    </row>
    <row r="499" spans="1:11" x14ac:dyDescent="0.25">
      <c r="A499" s="2" t="s">
        <v>1016</v>
      </c>
      <c r="B499" s="5" t="s">
        <v>1017</v>
      </c>
      <c r="C499" s="2" t="s">
        <v>19</v>
      </c>
      <c r="D499" s="1" t="s">
        <v>11</v>
      </c>
      <c r="E499" s="7">
        <v>1</v>
      </c>
      <c r="F499" s="12">
        <v>130</v>
      </c>
      <c r="G499" s="7">
        <v>0</v>
      </c>
      <c r="H499" s="10">
        <v>130</v>
      </c>
      <c r="I499" s="3">
        <v>45098</v>
      </c>
      <c r="J499" s="3" t="s">
        <v>2384</v>
      </c>
      <c r="K499" s="8">
        <v>4</v>
      </c>
    </row>
    <row r="500" spans="1:11" x14ac:dyDescent="0.25">
      <c r="A500" s="2" t="s">
        <v>1018</v>
      </c>
      <c r="B500" s="5" t="s">
        <v>1019</v>
      </c>
      <c r="C500" s="2" t="s">
        <v>19</v>
      </c>
      <c r="D500" s="1" t="s">
        <v>11</v>
      </c>
      <c r="E500" s="7">
        <v>1</v>
      </c>
      <c r="F500" s="12">
        <v>130</v>
      </c>
      <c r="G500" s="7">
        <v>0</v>
      </c>
      <c r="H500" s="10">
        <v>130</v>
      </c>
      <c r="I500" s="3">
        <v>45098</v>
      </c>
      <c r="J500" s="3" t="s">
        <v>2384</v>
      </c>
      <c r="K500" s="8">
        <v>4</v>
      </c>
    </row>
    <row r="501" spans="1:11" x14ac:dyDescent="0.25">
      <c r="A501" s="2" t="s">
        <v>1020</v>
      </c>
      <c r="B501" s="5" t="s">
        <v>1021</v>
      </c>
      <c r="C501" s="2" t="s">
        <v>32</v>
      </c>
      <c r="D501" s="1" t="s">
        <v>11</v>
      </c>
      <c r="E501" s="7">
        <v>2</v>
      </c>
      <c r="F501" s="12">
        <v>135</v>
      </c>
      <c r="G501" s="7">
        <v>0</v>
      </c>
      <c r="H501" s="10">
        <v>270</v>
      </c>
      <c r="I501" s="3">
        <v>45100</v>
      </c>
      <c r="J501" s="3" t="s">
        <v>2390</v>
      </c>
      <c r="K501" s="8">
        <v>3</v>
      </c>
    </row>
    <row r="502" spans="1:11" x14ac:dyDescent="0.25">
      <c r="A502" s="2" t="s">
        <v>1022</v>
      </c>
      <c r="B502" s="5" t="s">
        <v>1023</v>
      </c>
      <c r="C502" s="2" t="s">
        <v>32</v>
      </c>
      <c r="D502" s="1" t="s">
        <v>11</v>
      </c>
      <c r="E502" s="7">
        <v>2</v>
      </c>
      <c r="F502" s="12">
        <v>135</v>
      </c>
      <c r="G502" s="7">
        <v>0</v>
      </c>
      <c r="H502" s="10">
        <v>270</v>
      </c>
      <c r="I502" s="3">
        <v>45100</v>
      </c>
      <c r="J502" s="3" t="s">
        <v>2390</v>
      </c>
      <c r="K502" s="8">
        <v>4</v>
      </c>
    </row>
    <row r="503" spans="1:11" x14ac:dyDescent="0.25">
      <c r="A503" s="2" t="s">
        <v>1024</v>
      </c>
      <c r="B503" s="5" t="s">
        <v>1025</v>
      </c>
      <c r="C503" s="2" t="s">
        <v>32</v>
      </c>
      <c r="D503" s="1" t="s">
        <v>11</v>
      </c>
      <c r="E503" s="7">
        <v>1</v>
      </c>
      <c r="F503" s="12">
        <v>135</v>
      </c>
      <c r="G503" s="7">
        <v>5</v>
      </c>
      <c r="H503" s="10">
        <v>130</v>
      </c>
      <c r="I503" s="3">
        <v>45101</v>
      </c>
      <c r="J503" s="3" t="s">
        <v>2392</v>
      </c>
      <c r="K503" s="8">
        <v>3</v>
      </c>
    </row>
    <row r="504" spans="1:11" x14ac:dyDescent="0.25">
      <c r="A504" s="2" t="s">
        <v>1026</v>
      </c>
      <c r="B504" s="5" t="s">
        <v>1027</v>
      </c>
      <c r="C504" s="2" t="s">
        <v>32</v>
      </c>
      <c r="D504" s="1" t="s">
        <v>11</v>
      </c>
      <c r="E504" s="7">
        <v>1</v>
      </c>
      <c r="F504" s="12">
        <v>135</v>
      </c>
      <c r="G504" s="7">
        <v>5</v>
      </c>
      <c r="H504" s="10">
        <v>130</v>
      </c>
      <c r="I504" s="3">
        <v>45101</v>
      </c>
      <c r="J504" s="3" t="s">
        <v>2392</v>
      </c>
      <c r="K504" s="8">
        <v>1</v>
      </c>
    </row>
    <row r="505" spans="1:11" x14ac:dyDescent="0.25">
      <c r="A505" s="2" t="s">
        <v>1028</v>
      </c>
      <c r="B505" s="5" t="s">
        <v>1029</v>
      </c>
      <c r="C505" s="2" t="s">
        <v>10</v>
      </c>
      <c r="D505" s="1" t="s">
        <v>11</v>
      </c>
      <c r="E505" s="7">
        <v>1</v>
      </c>
      <c r="F505" s="12">
        <v>160</v>
      </c>
      <c r="G505" s="7">
        <v>0</v>
      </c>
      <c r="H505" s="10">
        <v>160</v>
      </c>
      <c r="I505" s="3">
        <v>45102</v>
      </c>
      <c r="J505" s="3" t="s">
        <v>2394</v>
      </c>
      <c r="K505" s="8">
        <v>4</v>
      </c>
    </row>
    <row r="506" spans="1:11" x14ac:dyDescent="0.25">
      <c r="A506" s="2" t="s">
        <v>1030</v>
      </c>
      <c r="B506" s="5" t="s">
        <v>1031</v>
      </c>
      <c r="C506" s="2" t="s">
        <v>10</v>
      </c>
      <c r="D506" s="1" t="s">
        <v>11</v>
      </c>
      <c r="E506" s="7">
        <v>1</v>
      </c>
      <c r="F506" s="12">
        <v>160</v>
      </c>
      <c r="G506" s="7">
        <v>0</v>
      </c>
      <c r="H506" s="10">
        <v>160</v>
      </c>
      <c r="I506" s="3">
        <v>45102</v>
      </c>
      <c r="J506" s="3" t="s">
        <v>2394</v>
      </c>
      <c r="K506" s="8">
        <v>2</v>
      </c>
    </row>
    <row r="507" spans="1:11" x14ac:dyDescent="0.25">
      <c r="A507" s="2" t="s">
        <v>1032</v>
      </c>
      <c r="B507" s="5" t="s">
        <v>1033</v>
      </c>
      <c r="C507" s="2" t="s">
        <v>32</v>
      </c>
      <c r="D507" s="1" t="s">
        <v>11</v>
      </c>
      <c r="E507" s="7">
        <v>2</v>
      </c>
      <c r="F507" s="12">
        <v>135</v>
      </c>
      <c r="G507" s="7">
        <v>0</v>
      </c>
      <c r="H507" s="10">
        <v>270</v>
      </c>
      <c r="I507" s="3">
        <v>45103</v>
      </c>
      <c r="J507" s="3" t="s">
        <v>2394</v>
      </c>
      <c r="K507" s="8">
        <v>1</v>
      </c>
    </row>
    <row r="508" spans="1:11" x14ac:dyDescent="0.25">
      <c r="A508" s="2" t="s">
        <v>1034</v>
      </c>
      <c r="B508" s="5" t="s">
        <v>1035</v>
      </c>
      <c r="C508" s="2" t="s">
        <v>32</v>
      </c>
      <c r="D508" s="1" t="s">
        <v>11</v>
      </c>
      <c r="E508" s="7">
        <v>2</v>
      </c>
      <c r="F508" s="12">
        <v>135</v>
      </c>
      <c r="G508" s="7">
        <v>0</v>
      </c>
      <c r="H508" s="10">
        <v>270</v>
      </c>
      <c r="I508" s="3">
        <v>45103</v>
      </c>
      <c r="J508" s="3" t="s">
        <v>2394</v>
      </c>
      <c r="K508" s="8">
        <v>3</v>
      </c>
    </row>
    <row r="509" spans="1:11" x14ac:dyDescent="0.25">
      <c r="A509" s="2" t="s">
        <v>1036</v>
      </c>
      <c r="B509" s="5" t="s">
        <v>1037</v>
      </c>
      <c r="C509" s="2" t="s">
        <v>70</v>
      </c>
      <c r="D509" s="1" t="s">
        <v>11</v>
      </c>
      <c r="E509" s="7">
        <v>2</v>
      </c>
      <c r="F509" s="12">
        <v>125</v>
      </c>
      <c r="G509" s="7">
        <v>0</v>
      </c>
      <c r="H509" s="10">
        <v>250</v>
      </c>
      <c r="I509" s="3">
        <v>45104</v>
      </c>
      <c r="J509" s="3" t="s">
        <v>2397</v>
      </c>
      <c r="K509" s="8">
        <v>4</v>
      </c>
    </row>
    <row r="510" spans="1:11" x14ac:dyDescent="0.25">
      <c r="A510" s="2" t="s">
        <v>1038</v>
      </c>
      <c r="B510" s="5" t="s">
        <v>1039</v>
      </c>
      <c r="C510" s="2" t="s">
        <v>47</v>
      </c>
      <c r="D510" s="1" t="s">
        <v>11</v>
      </c>
      <c r="E510" s="7">
        <v>2</v>
      </c>
      <c r="F510" s="12">
        <v>190</v>
      </c>
      <c r="G510" s="7">
        <v>0</v>
      </c>
      <c r="H510" s="10">
        <v>380</v>
      </c>
      <c r="I510" s="3">
        <v>45104</v>
      </c>
      <c r="J510" s="3" t="s">
        <v>2398</v>
      </c>
      <c r="K510" s="8">
        <v>1</v>
      </c>
    </row>
    <row r="511" spans="1:11" x14ac:dyDescent="0.25">
      <c r="A511" s="2" t="s">
        <v>1040</v>
      </c>
      <c r="B511" s="5" t="s">
        <v>1041</v>
      </c>
      <c r="C511" s="2" t="s">
        <v>70</v>
      </c>
      <c r="D511" s="1" t="s">
        <v>11</v>
      </c>
      <c r="E511" s="7">
        <v>2</v>
      </c>
      <c r="F511" s="12">
        <v>125</v>
      </c>
      <c r="G511" s="7">
        <v>0</v>
      </c>
      <c r="H511" s="10">
        <v>250</v>
      </c>
      <c r="I511" s="3">
        <v>45104</v>
      </c>
      <c r="J511" s="3" t="s">
        <v>2397</v>
      </c>
      <c r="K511" s="8">
        <v>2</v>
      </c>
    </row>
    <row r="512" spans="1:11" x14ac:dyDescent="0.25">
      <c r="A512" s="2" t="s">
        <v>1042</v>
      </c>
      <c r="B512" s="5" t="s">
        <v>1043</v>
      </c>
      <c r="C512" s="2" t="s">
        <v>47</v>
      </c>
      <c r="D512" s="1" t="s">
        <v>11</v>
      </c>
      <c r="E512" s="7">
        <v>2</v>
      </c>
      <c r="F512" s="12">
        <v>190</v>
      </c>
      <c r="G512" s="7">
        <v>0</v>
      </c>
      <c r="H512" s="10">
        <v>380</v>
      </c>
      <c r="I512" s="3">
        <v>45104</v>
      </c>
      <c r="J512" s="3" t="s">
        <v>2398</v>
      </c>
      <c r="K512" s="8">
        <v>4</v>
      </c>
    </row>
    <row r="513" spans="1:11" x14ac:dyDescent="0.25">
      <c r="A513" s="2" t="s">
        <v>1044</v>
      </c>
      <c r="B513" s="5" t="s">
        <v>1045</v>
      </c>
      <c r="C513" s="2" t="s">
        <v>47</v>
      </c>
      <c r="D513" s="1" t="s">
        <v>11</v>
      </c>
      <c r="E513" s="7">
        <v>1</v>
      </c>
      <c r="F513" s="12">
        <v>190</v>
      </c>
      <c r="G513" s="7">
        <v>5</v>
      </c>
      <c r="H513" s="10">
        <v>185</v>
      </c>
      <c r="I513" s="3">
        <v>45105</v>
      </c>
      <c r="J513" s="3" t="s">
        <v>2397</v>
      </c>
      <c r="K513" s="8">
        <v>2</v>
      </c>
    </row>
    <row r="514" spans="1:11" x14ac:dyDescent="0.25">
      <c r="A514" s="2" t="s">
        <v>1046</v>
      </c>
      <c r="B514" s="5" t="s">
        <v>1047</v>
      </c>
      <c r="C514" s="2" t="s">
        <v>19</v>
      </c>
      <c r="D514" s="1" t="s">
        <v>11</v>
      </c>
      <c r="E514" s="7">
        <v>3</v>
      </c>
      <c r="F514" s="12">
        <v>130</v>
      </c>
      <c r="G514" s="7">
        <v>0</v>
      </c>
      <c r="H514" s="10">
        <v>390</v>
      </c>
      <c r="I514" s="3">
        <v>45105</v>
      </c>
      <c r="J514" s="3" t="s">
        <v>2400</v>
      </c>
      <c r="K514" s="8">
        <v>4</v>
      </c>
    </row>
    <row r="515" spans="1:11" x14ac:dyDescent="0.25">
      <c r="A515" s="2" t="s">
        <v>1048</v>
      </c>
      <c r="B515" s="5" t="s">
        <v>1049</v>
      </c>
      <c r="C515" s="2" t="s">
        <v>47</v>
      </c>
      <c r="D515" s="1" t="s">
        <v>11</v>
      </c>
      <c r="E515" s="7">
        <v>1</v>
      </c>
      <c r="F515" s="12">
        <v>190</v>
      </c>
      <c r="G515" s="7">
        <v>5</v>
      </c>
      <c r="H515" s="10">
        <v>185</v>
      </c>
      <c r="I515" s="3">
        <v>45105</v>
      </c>
      <c r="J515" s="3" t="s">
        <v>2397</v>
      </c>
      <c r="K515" s="8">
        <v>1</v>
      </c>
    </row>
    <row r="516" spans="1:11" x14ac:dyDescent="0.25">
      <c r="A516" s="2" t="s">
        <v>1050</v>
      </c>
      <c r="B516" s="5" t="s">
        <v>1051</v>
      </c>
      <c r="C516" s="2" t="s">
        <v>19</v>
      </c>
      <c r="D516" s="1" t="s">
        <v>11</v>
      </c>
      <c r="E516" s="7">
        <v>3</v>
      </c>
      <c r="F516" s="12">
        <v>130</v>
      </c>
      <c r="G516" s="7">
        <v>0</v>
      </c>
      <c r="H516" s="10">
        <v>390</v>
      </c>
      <c r="I516" s="3">
        <v>45105</v>
      </c>
      <c r="J516" s="3" t="s">
        <v>2400</v>
      </c>
      <c r="K516" s="8">
        <v>2</v>
      </c>
    </row>
    <row r="517" spans="1:11" x14ac:dyDescent="0.25">
      <c r="A517" s="2" t="s">
        <v>1052</v>
      </c>
      <c r="B517" s="5" t="s">
        <v>1053</v>
      </c>
      <c r="C517" s="2" t="s">
        <v>19</v>
      </c>
      <c r="D517" s="1" t="s">
        <v>11</v>
      </c>
      <c r="E517" s="7">
        <v>3</v>
      </c>
      <c r="F517" s="12">
        <v>130</v>
      </c>
      <c r="G517" s="7">
        <v>0</v>
      </c>
      <c r="H517" s="10">
        <v>390</v>
      </c>
      <c r="I517" s="3">
        <v>45105</v>
      </c>
      <c r="J517" s="3" t="s">
        <v>2400</v>
      </c>
      <c r="K517" s="8">
        <v>1</v>
      </c>
    </row>
    <row r="518" spans="1:11" x14ac:dyDescent="0.25">
      <c r="A518" s="2" t="s">
        <v>1054</v>
      </c>
      <c r="B518" s="5" t="s">
        <v>1055</v>
      </c>
      <c r="C518" s="2" t="s">
        <v>19</v>
      </c>
      <c r="D518" s="1" t="s">
        <v>11</v>
      </c>
      <c r="E518" s="7">
        <v>1</v>
      </c>
      <c r="F518" s="12">
        <v>130</v>
      </c>
      <c r="G518" s="7">
        <v>5</v>
      </c>
      <c r="H518" s="10">
        <v>125</v>
      </c>
      <c r="I518" s="3">
        <v>45106</v>
      </c>
      <c r="J518" s="3" t="s">
        <v>2398</v>
      </c>
      <c r="K518" s="8">
        <v>1</v>
      </c>
    </row>
    <row r="519" spans="1:11" x14ac:dyDescent="0.25">
      <c r="A519" s="2" t="s">
        <v>1056</v>
      </c>
      <c r="B519" s="5" t="s">
        <v>1057</v>
      </c>
      <c r="C519" s="2" t="s">
        <v>19</v>
      </c>
      <c r="D519" s="1" t="s">
        <v>11</v>
      </c>
      <c r="E519" s="7">
        <v>1</v>
      </c>
      <c r="F519" s="12">
        <v>130</v>
      </c>
      <c r="G519" s="7">
        <v>5</v>
      </c>
      <c r="H519" s="10">
        <v>125</v>
      </c>
      <c r="I519" s="3">
        <v>45106</v>
      </c>
      <c r="J519" s="3" t="s">
        <v>2398</v>
      </c>
      <c r="K519" s="8">
        <v>3</v>
      </c>
    </row>
    <row r="520" spans="1:11" x14ac:dyDescent="0.25">
      <c r="A520" s="2" t="s">
        <v>1058</v>
      </c>
      <c r="B520" s="5" t="s">
        <v>1059</v>
      </c>
      <c r="C520" s="2" t="s">
        <v>19</v>
      </c>
      <c r="D520" s="1" t="s">
        <v>11</v>
      </c>
      <c r="E520" s="7">
        <v>1</v>
      </c>
      <c r="F520" s="12">
        <v>130</v>
      </c>
      <c r="G520" s="7">
        <v>10</v>
      </c>
      <c r="H520" s="10">
        <v>120</v>
      </c>
      <c r="I520" s="3">
        <v>45107</v>
      </c>
      <c r="J520" s="3" t="s">
        <v>2403</v>
      </c>
      <c r="K520" s="8">
        <v>1</v>
      </c>
    </row>
    <row r="521" spans="1:11" x14ac:dyDescent="0.25">
      <c r="A521" s="2" t="s">
        <v>1060</v>
      </c>
      <c r="B521" s="5" t="s">
        <v>1061</v>
      </c>
      <c r="C521" s="2" t="s">
        <v>19</v>
      </c>
      <c r="D521" s="1" t="s">
        <v>11</v>
      </c>
      <c r="E521" s="7">
        <v>1</v>
      </c>
      <c r="F521" s="12">
        <v>130</v>
      </c>
      <c r="G521" s="7">
        <v>10</v>
      </c>
      <c r="H521" s="10">
        <v>120</v>
      </c>
      <c r="I521" s="3">
        <v>45107</v>
      </c>
      <c r="J521" s="3" t="s">
        <v>2403</v>
      </c>
      <c r="K521" s="8">
        <v>4</v>
      </c>
    </row>
    <row r="522" spans="1:11" x14ac:dyDescent="0.25">
      <c r="A522" s="2" t="s">
        <v>1062</v>
      </c>
      <c r="B522" s="5" t="s">
        <v>1063</v>
      </c>
      <c r="C522" s="2" t="s">
        <v>19</v>
      </c>
      <c r="D522" s="1" t="s">
        <v>11</v>
      </c>
      <c r="E522" s="7">
        <v>1</v>
      </c>
      <c r="F522" s="12">
        <v>130</v>
      </c>
      <c r="G522" s="7">
        <v>10</v>
      </c>
      <c r="H522" s="10">
        <v>120</v>
      </c>
      <c r="I522" s="3">
        <v>45107</v>
      </c>
      <c r="J522" s="3" t="s">
        <v>2403</v>
      </c>
      <c r="K522" s="8">
        <v>2</v>
      </c>
    </row>
    <row r="523" spans="1:11" x14ac:dyDescent="0.25">
      <c r="A523" s="2" t="s">
        <v>1064</v>
      </c>
      <c r="B523" s="5" t="s">
        <v>1065</v>
      </c>
      <c r="C523" s="2" t="s">
        <v>47</v>
      </c>
      <c r="D523" s="1" t="s">
        <v>11</v>
      </c>
      <c r="E523" s="7">
        <v>1</v>
      </c>
      <c r="F523" s="12">
        <v>190</v>
      </c>
      <c r="G523" s="7">
        <v>10</v>
      </c>
      <c r="H523" s="10">
        <v>180</v>
      </c>
      <c r="I523" s="3">
        <v>44933</v>
      </c>
      <c r="J523" s="3" t="s">
        <v>2404</v>
      </c>
      <c r="K523" s="8">
        <v>4</v>
      </c>
    </row>
    <row r="524" spans="1:11" x14ac:dyDescent="0.25">
      <c r="A524" s="2" t="s">
        <v>1066</v>
      </c>
      <c r="B524" s="5" t="s">
        <v>1067</v>
      </c>
      <c r="C524" s="2" t="s">
        <v>47</v>
      </c>
      <c r="D524" s="1" t="s">
        <v>11</v>
      </c>
      <c r="E524" s="7">
        <v>1</v>
      </c>
      <c r="F524" s="12">
        <v>190</v>
      </c>
      <c r="G524" s="7">
        <v>10</v>
      </c>
      <c r="H524" s="10">
        <v>180</v>
      </c>
      <c r="I524" s="3">
        <v>44933</v>
      </c>
      <c r="J524" s="3" t="s">
        <v>2404</v>
      </c>
      <c r="K524" s="8">
        <v>4</v>
      </c>
    </row>
    <row r="525" spans="1:11" x14ac:dyDescent="0.25">
      <c r="A525" s="2" t="s">
        <v>1068</v>
      </c>
      <c r="B525" s="5" t="s">
        <v>1069</v>
      </c>
      <c r="C525" s="2" t="s">
        <v>10</v>
      </c>
      <c r="D525" s="1" t="s">
        <v>11</v>
      </c>
      <c r="E525" s="7">
        <v>1</v>
      </c>
      <c r="F525" s="12">
        <v>160</v>
      </c>
      <c r="G525" s="7">
        <v>0</v>
      </c>
      <c r="H525" s="10">
        <v>160</v>
      </c>
      <c r="I525" s="3">
        <v>45053</v>
      </c>
      <c r="J525" s="3" t="s">
        <v>2405</v>
      </c>
      <c r="K525" s="8">
        <v>4</v>
      </c>
    </row>
    <row r="526" spans="1:11" x14ac:dyDescent="0.25">
      <c r="A526" s="2" t="s">
        <v>1070</v>
      </c>
      <c r="B526" s="5" t="s">
        <v>1071</v>
      </c>
      <c r="C526" s="2" t="s">
        <v>10</v>
      </c>
      <c r="D526" s="1" t="s">
        <v>11</v>
      </c>
      <c r="E526" s="7">
        <v>1</v>
      </c>
      <c r="F526" s="12">
        <v>160</v>
      </c>
      <c r="G526" s="7">
        <v>0</v>
      </c>
      <c r="H526" s="10">
        <v>160</v>
      </c>
      <c r="I526" s="3">
        <v>45053</v>
      </c>
      <c r="J526" s="3" t="s">
        <v>2405</v>
      </c>
      <c r="K526" s="8">
        <v>3</v>
      </c>
    </row>
    <row r="527" spans="1:11" x14ac:dyDescent="0.25">
      <c r="A527" s="2" t="s">
        <v>1072</v>
      </c>
      <c r="B527" s="5" t="s">
        <v>1073</v>
      </c>
      <c r="C527" s="2" t="s">
        <v>32</v>
      </c>
      <c r="D527" s="1" t="s">
        <v>11</v>
      </c>
      <c r="E527" s="7">
        <v>1</v>
      </c>
      <c r="F527" s="12">
        <v>135</v>
      </c>
      <c r="G527" s="7">
        <v>0</v>
      </c>
      <c r="H527" s="10">
        <v>135</v>
      </c>
      <c r="I527" s="3">
        <v>45145</v>
      </c>
      <c r="J527" s="3" t="s">
        <v>2406</v>
      </c>
      <c r="K527" s="8">
        <v>1</v>
      </c>
    </row>
    <row r="528" spans="1:11" x14ac:dyDescent="0.25">
      <c r="A528" s="2" t="s">
        <v>1074</v>
      </c>
      <c r="B528" s="5" t="s">
        <v>1075</v>
      </c>
      <c r="C528" s="2" t="s">
        <v>32</v>
      </c>
      <c r="D528" s="1" t="s">
        <v>11</v>
      </c>
      <c r="E528" s="7">
        <v>1</v>
      </c>
      <c r="F528" s="12">
        <v>135</v>
      </c>
      <c r="G528" s="7">
        <v>0</v>
      </c>
      <c r="H528" s="10">
        <v>135</v>
      </c>
      <c r="I528" s="3">
        <v>45145</v>
      </c>
      <c r="J528" s="3" t="s">
        <v>2406</v>
      </c>
      <c r="K528" s="8">
        <v>2</v>
      </c>
    </row>
    <row r="529" spans="1:11" x14ac:dyDescent="0.25">
      <c r="A529" s="2" t="s">
        <v>1076</v>
      </c>
      <c r="B529" s="5" t="s">
        <v>1077</v>
      </c>
      <c r="C529" s="2" t="s">
        <v>47</v>
      </c>
      <c r="D529" s="1" t="s">
        <v>11</v>
      </c>
      <c r="E529" s="7">
        <v>1</v>
      </c>
      <c r="F529" s="12">
        <v>190</v>
      </c>
      <c r="G529" s="7">
        <v>0</v>
      </c>
      <c r="H529" s="10">
        <v>190</v>
      </c>
      <c r="I529" s="3">
        <v>45237</v>
      </c>
      <c r="J529" s="3" t="s">
        <v>2407</v>
      </c>
      <c r="K529" s="8">
        <v>3</v>
      </c>
    </row>
    <row r="530" spans="1:11" x14ac:dyDescent="0.25">
      <c r="A530" s="2" t="s">
        <v>1078</v>
      </c>
      <c r="B530" s="5" t="s">
        <v>1079</v>
      </c>
      <c r="C530" s="2" t="s">
        <v>167</v>
      </c>
      <c r="D530" s="1" t="s">
        <v>11</v>
      </c>
      <c r="E530" s="7">
        <v>1</v>
      </c>
      <c r="F530" s="12">
        <v>210</v>
      </c>
      <c r="G530" s="7">
        <v>0</v>
      </c>
      <c r="H530" s="10">
        <v>210</v>
      </c>
      <c r="I530" s="3">
        <v>45237</v>
      </c>
      <c r="J530" s="3" t="s">
        <v>2408</v>
      </c>
      <c r="K530" s="8">
        <v>1</v>
      </c>
    </row>
    <row r="531" spans="1:11" x14ac:dyDescent="0.25">
      <c r="A531" s="2" t="s">
        <v>1080</v>
      </c>
      <c r="B531" s="5" t="s">
        <v>1081</v>
      </c>
      <c r="C531" s="2" t="s">
        <v>47</v>
      </c>
      <c r="D531" s="1" t="s">
        <v>11</v>
      </c>
      <c r="E531" s="7">
        <v>1</v>
      </c>
      <c r="F531" s="12">
        <v>190</v>
      </c>
      <c r="G531" s="7">
        <v>0</v>
      </c>
      <c r="H531" s="10">
        <v>190</v>
      </c>
      <c r="I531" s="3">
        <v>45237</v>
      </c>
      <c r="J531" s="3" t="s">
        <v>2407</v>
      </c>
      <c r="K531" s="8">
        <v>3</v>
      </c>
    </row>
    <row r="532" spans="1:11" x14ac:dyDescent="0.25">
      <c r="A532" s="2" t="s">
        <v>1082</v>
      </c>
      <c r="B532" s="5" t="s">
        <v>1083</v>
      </c>
      <c r="C532" s="2" t="s">
        <v>167</v>
      </c>
      <c r="D532" s="1" t="s">
        <v>11</v>
      </c>
      <c r="E532" s="7">
        <v>1</v>
      </c>
      <c r="F532" s="12">
        <v>210</v>
      </c>
      <c r="G532" s="7">
        <v>0</v>
      </c>
      <c r="H532" s="10">
        <v>210</v>
      </c>
      <c r="I532" s="3">
        <v>45237</v>
      </c>
      <c r="J532" s="3" t="s">
        <v>2408</v>
      </c>
      <c r="K532" s="8">
        <v>4</v>
      </c>
    </row>
    <row r="533" spans="1:11" x14ac:dyDescent="0.25">
      <c r="A533" s="2" t="s">
        <v>1084</v>
      </c>
      <c r="B533" s="5" t="s">
        <v>1085</v>
      </c>
      <c r="C533" s="2" t="s">
        <v>47</v>
      </c>
      <c r="D533" s="1" t="s">
        <v>11</v>
      </c>
      <c r="E533" s="7">
        <v>1</v>
      </c>
      <c r="F533" s="12">
        <v>190</v>
      </c>
      <c r="G533" s="7">
        <v>0</v>
      </c>
      <c r="H533" s="10">
        <v>190</v>
      </c>
      <c r="I533" s="3">
        <v>45237</v>
      </c>
      <c r="J533" s="3" t="s">
        <v>2407</v>
      </c>
      <c r="K533" s="8">
        <v>4</v>
      </c>
    </row>
    <row r="534" spans="1:11" x14ac:dyDescent="0.25">
      <c r="A534" s="2" t="s">
        <v>1086</v>
      </c>
      <c r="B534" s="5" t="s">
        <v>1087</v>
      </c>
      <c r="C534" s="2" t="s">
        <v>167</v>
      </c>
      <c r="D534" s="1" t="s">
        <v>11</v>
      </c>
      <c r="E534" s="7">
        <v>1</v>
      </c>
      <c r="F534" s="12">
        <v>210</v>
      </c>
      <c r="G534" s="7">
        <v>0</v>
      </c>
      <c r="H534" s="10">
        <v>210</v>
      </c>
      <c r="I534" s="3">
        <v>45237</v>
      </c>
      <c r="J534" s="3" t="s">
        <v>2408</v>
      </c>
      <c r="K534" s="8">
        <v>3</v>
      </c>
    </row>
    <row r="535" spans="1:11" x14ac:dyDescent="0.25">
      <c r="A535" s="2" t="s">
        <v>1088</v>
      </c>
      <c r="B535" s="5" t="s">
        <v>1089</v>
      </c>
      <c r="C535" s="2" t="s">
        <v>19</v>
      </c>
      <c r="D535" s="1" t="s">
        <v>11</v>
      </c>
      <c r="E535" s="7">
        <v>2</v>
      </c>
      <c r="F535" s="12">
        <v>130</v>
      </c>
      <c r="G535" s="7">
        <v>0</v>
      </c>
      <c r="H535" s="10">
        <v>260</v>
      </c>
      <c r="I535" s="3">
        <v>45267</v>
      </c>
      <c r="J535" s="3" t="s">
        <v>2407</v>
      </c>
      <c r="K535" s="8">
        <v>4</v>
      </c>
    </row>
    <row r="536" spans="1:11" x14ac:dyDescent="0.25">
      <c r="A536" s="2" t="s">
        <v>1090</v>
      </c>
      <c r="B536" s="5" t="s">
        <v>1091</v>
      </c>
      <c r="C536" s="2" t="s">
        <v>19</v>
      </c>
      <c r="D536" s="1" t="s">
        <v>11</v>
      </c>
      <c r="E536" s="7">
        <v>1</v>
      </c>
      <c r="F536" s="12">
        <v>130</v>
      </c>
      <c r="G536" s="7">
        <v>0</v>
      </c>
      <c r="H536" s="10">
        <v>130</v>
      </c>
      <c r="I536" s="3">
        <v>45267</v>
      </c>
      <c r="J536" s="3" t="s">
        <v>2407</v>
      </c>
      <c r="K536" s="8">
        <v>3</v>
      </c>
    </row>
    <row r="537" spans="1:11" x14ac:dyDescent="0.25">
      <c r="A537" s="2" t="s">
        <v>1092</v>
      </c>
      <c r="B537" s="5" t="s">
        <v>1093</v>
      </c>
      <c r="C537" s="2" t="s">
        <v>232</v>
      </c>
      <c r="D537" s="1" t="s">
        <v>137</v>
      </c>
      <c r="E537" s="7">
        <v>1</v>
      </c>
      <c r="F537" s="12">
        <v>200</v>
      </c>
      <c r="G537" s="7">
        <v>0</v>
      </c>
      <c r="H537" s="10">
        <v>200</v>
      </c>
      <c r="I537" s="3">
        <v>45267</v>
      </c>
      <c r="J537" s="3" t="s">
        <v>2409</v>
      </c>
      <c r="K537" s="8">
        <v>4</v>
      </c>
    </row>
    <row r="538" spans="1:11" x14ac:dyDescent="0.25">
      <c r="A538" s="2" t="s">
        <v>1094</v>
      </c>
      <c r="B538" s="5" t="s">
        <v>1095</v>
      </c>
      <c r="C538" s="2" t="s">
        <v>19</v>
      </c>
      <c r="D538" s="1" t="s">
        <v>11</v>
      </c>
      <c r="E538" s="7">
        <v>2</v>
      </c>
      <c r="F538" s="12">
        <v>130</v>
      </c>
      <c r="G538" s="7">
        <v>0</v>
      </c>
      <c r="H538" s="10">
        <v>260</v>
      </c>
      <c r="I538" s="3">
        <v>45267</v>
      </c>
      <c r="J538" s="3" t="s">
        <v>2407</v>
      </c>
      <c r="K538" s="8">
        <v>3</v>
      </c>
    </row>
    <row r="539" spans="1:11" x14ac:dyDescent="0.25">
      <c r="A539" s="2" t="s">
        <v>1096</v>
      </c>
      <c r="B539" s="5" t="s">
        <v>1097</v>
      </c>
      <c r="C539" s="2" t="s">
        <v>19</v>
      </c>
      <c r="D539" s="1" t="s">
        <v>11</v>
      </c>
      <c r="E539" s="7">
        <v>1</v>
      </c>
      <c r="F539" s="12">
        <v>130</v>
      </c>
      <c r="G539" s="7">
        <v>0</v>
      </c>
      <c r="H539" s="10">
        <v>130</v>
      </c>
      <c r="I539" s="3">
        <v>45267</v>
      </c>
      <c r="J539" s="3" t="s">
        <v>2407</v>
      </c>
      <c r="K539" s="8">
        <v>3</v>
      </c>
    </row>
    <row r="540" spans="1:11" x14ac:dyDescent="0.25">
      <c r="A540" s="2" t="s">
        <v>1098</v>
      </c>
      <c r="B540" s="5" t="s">
        <v>1099</v>
      </c>
      <c r="C540" s="2" t="s">
        <v>232</v>
      </c>
      <c r="D540" s="1" t="s">
        <v>137</v>
      </c>
      <c r="E540" s="7">
        <v>1</v>
      </c>
      <c r="F540" s="12">
        <v>200</v>
      </c>
      <c r="G540" s="7">
        <v>0</v>
      </c>
      <c r="H540" s="10">
        <v>200</v>
      </c>
      <c r="I540" s="3">
        <v>45267</v>
      </c>
      <c r="J540" s="3" t="s">
        <v>2409</v>
      </c>
      <c r="K540" s="8">
        <v>1</v>
      </c>
    </row>
    <row r="541" spans="1:11" x14ac:dyDescent="0.25">
      <c r="A541" s="2" t="s">
        <v>1100</v>
      </c>
      <c r="B541" s="5" t="s">
        <v>1101</v>
      </c>
      <c r="C541" s="2" t="s">
        <v>19</v>
      </c>
      <c r="D541" s="1" t="s">
        <v>11</v>
      </c>
      <c r="E541" s="7">
        <v>2</v>
      </c>
      <c r="F541" s="12">
        <v>130</v>
      </c>
      <c r="G541" s="7">
        <v>10</v>
      </c>
      <c r="H541" s="10">
        <v>250</v>
      </c>
      <c r="I541" s="3">
        <v>45120</v>
      </c>
      <c r="J541" s="3" t="s">
        <v>2411</v>
      </c>
      <c r="K541" s="8">
        <v>3</v>
      </c>
    </row>
    <row r="542" spans="1:11" x14ac:dyDescent="0.25">
      <c r="A542" s="2" t="s">
        <v>1102</v>
      </c>
      <c r="B542" s="5" t="s">
        <v>1103</v>
      </c>
      <c r="C542" s="2" t="s">
        <v>19</v>
      </c>
      <c r="D542" s="1" t="s">
        <v>11</v>
      </c>
      <c r="E542" s="7">
        <v>2</v>
      </c>
      <c r="F542" s="12">
        <v>130</v>
      </c>
      <c r="G542" s="7">
        <v>10</v>
      </c>
      <c r="H542" s="10">
        <v>250</v>
      </c>
      <c r="I542" s="3">
        <v>45120</v>
      </c>
      <c r="J542" s="3" t="s">
        <v>2411</v>
      </c>
      <c r="K542" s="8">
        <v>3</v>
      </c>
    </row>
    <row r="543" spans="1:11" x14ac:dyDescent="0.25">
      <c r="A543" s="2" t="s">
        <v>1104</v>
      </c>
      <c r="B543" s="5" t="s">
        <v>1105</v>
      </c>
      <c r="C543" s="2" t="s">
        <v>32</v>
      </c>
      <c r="D543" s="1" t="s">
        <v>11</v>
      </c>
      <c r="E543" s="7">
        <v>1</v>
      </c>
      <c r="F543" s="12">
        <v>135</v>
      </c>
      <c r="G543" s="7">
        <v>0</v>
      </c>
      <c r="H543" s="10">
        <v>135</v>
      </c>
      <c r="I543" s="3">
        <v>45121</v>
      </c>
      <c r="J543" s="3" t="s">
        <v>2413</v>
      </c>
      <c r="K543" s="8">
        <v>2</v>
      </c>
    </row>
    <row r="544" spans="1:11" x14ac:dyDescent="0.25">
      <c r="A544" s="2" t="s">
        <v>1106</v>
      </c>
      <c r="B544" s="5" t="s">
        <v>1107</v>
      </c>
      <c r="C544" s="2" t="s">
        <v>232</v>
      </c>
      <c r="D544" s="1" t="s">
        <v>137</v>
      </c>
      <c r="E544" s="7">
        <v>2</v>
      </c>
      <c r="F544" s="12">
        <v>200</v>
      </c>
      <c r="G544" s="7">
        <v>10</v>
      </c>
      <c r="H544" s="10">
        <v>390</v>
      </c>
      <c r="I544" s="3">
        <v>45121</v>
      </c>
      <c r="J544" s="3" t="s">
        <v>2414</v>
      </c>
      <c r="K544" s="8">
        <v>3</v>
      </c>
    </row>
    <row r="545" spans="1:11" x14ac:dyDescent="0.25">
      <c r="A545" s="2" t="s">
        <v>1108</v>
      </c>
      <c r="B545" s="5" t="s">
        <v>1109</v>
      </c>
      <c r="C545" s="2" t="s">
        <v>32</v>
      </c>
      <c r="D545" s="1" t="s">
        <v>11</v>
      </c>
      <c r="E545" s="7">
        <v>1</v>
      </c>
      <c r="F545" s="12">
        <v>135</v>
      </c>
      <c r="G545" s="7">
        <v>0</v>
      </c>
      <c r="H545" s="10">
        <v>135</v>
      </c>
      <c r="I545" s="3">
        <v>45121</v>
      </c>
      <c r="J545" s="3" t="s">
        <v>2413</v>
      </c>
      <c r="K545" s="8">
        <v>2</v>
      </c>
    </row>
    <row r="546" spans="1:11" x14ac:dyDescent="0.25">
      <c r="A546" s="2" t="s">
        <v>1110</v>
      </c>
      <c r="B546" s="5" t="s">
        <v>1111</v>
      </c>
      <c r="C546" s="2" t="s">
        <v>232</v>
      </c>
      <c r="D546" s="1" t="s">
        <v>137</v>
      </c>
      <c r="E546" s="7">
        <v>2</v>
      </c>
      <c r="F546" s="12">
        <v>200</v>
      </c>
      <c r="G546" s="7">
        <v>10</v>
      </c>
      <c r="H546" s="10">
        <v>390</v>
      </c>
      <c r="I546" s="3">
        <v>45121</v>
      </c>
      <c r="J546" s="3" t="s">
        <v>2414</v>
      </c>
      <c r="K546" s="8">
        <v>2</v>
      </c>
    </row>
    <row r="547" spans="1:11" x14ac:dyDescent="0.25">
      <c r="A547" s="2" t="s">
        <v>1112</v>
      </c>
      <c r="B547" s="5" t="s">
        <v>1113</v>
      </c>
      <c r="C547" s="2" t="s">
        <v>32</v>
      </c>
      <c r="D547" s="1" t="s">
        <v>11</v>
      </c>
      <c r="E547" s="7">
        <v>1</v>
      </c>
      <c r="F547" s="12">
        <v>135</v>
      </c>
      <c r="G547" s="7">
        <v>0</v>
      </c>
      <c r="H547" s="10">
        <v>135</v>
      </c>
      <c r="I547" s="3">
        <v>45122</v>
      </c>
      <c r="J547" s="3" t="s">
        <v>2413</v>
      </c>
      <c r="K547" s="8">
        <v>3</v>
      </c>
    </row>
    <row r="548" spans="1:11" x14ac:dyDescent="0.25">
      <c r="A548" s="2" t="s">
        <v>1114</v>
      </c>
      <c r="B548" s="5" t="s">
        <v>1115</v>
      </c>
      <c r="C548" s="2" t="s">
        <v>47</v>
      </c>
      <c r="D548" s="1" t="s">
        <v>11</v>
      </c>
      <c r="E548" s="7">
        <v>1</v>
      </c>
      <c r="F548" s="12">
        <v>190</v>
      </c>
      <c r="G548" s="7">
        <v>0</v>
      </c>
      <c r="H548" s="10">
        <v>190</v>
      </c>
      <c r="I548" s="3">
        <v>45122</v>
      </c>
      <c r="J548" s="3" t="s">
        <v>2411</v>
      </c>
      <c r="K548" s="8">
        <v>4</v>
      </c>
    </row>
    <row r="549" spans="1:11" x14ac:dyDescent="0.25">
      <c r="A549" s="2" t="s">
        <v>1116</v>
      </c>
      <c r="B549" s="5" t="s">
        <v>1117</v>
      </c>
      <c r="C549" s="2" t="s">
        <v>32</v>
      </c>
      <c r="D549" s="1" t="s">
        <v>11</v>
      </c>
      <c r="E549" s="7">
        <v>1</v>
      </c>
      <c r="F549" s="12">
        <v>135</v>
      </c>
      <c r="G549" s="7">
        <v>0</v>
      </c>
      <c r="H549" s="10">
        <v>135</v>
      </c>
      <c r="I549" s="3">
        <v>45122</v>
      </c>
      <c r="J549" s="3" t="s">
        <v>2413</v>
      </c>
      <c r="K549" s="8">
        <v>4</v>
      </c>
    </row>
    <row r="550" spans="1:11" x14ac:dyDescent="0.25">
      <c r="A550" s="2" t="s">
        <v>1118</v>
      </c>
      <c r="B550" s="5" t="s">
        <v>1119</v>
      </c>
      <c r="C550" s="2" t="s">
        <v>47</v>
      </c>
      <c r="D550" s="1" t="s">
        <v>11</v>
      </c>
      <c r="E550" s="7">
        <v>1</v>
      </c>
      <c r="F550" s="12">
        <v>190</v>
      </c>
      <c r="G550" s="7">
        <v>0</v>
      </c>
      <c r="H550" s="10">
        <v>190</v>
      </c>
      <c r="I550" s="3">
        <v>45122</v>
      </c>
      <c r="J550" s="3" t="s">
        <v>2411</v>
      </c>
      <c r="K550" s="8">
        <v>2</v>
      </c>
    </row>
    <row r="551" spans="1:11" x14ac:dyDescent="0.25">
      <c r="A551" s="2" t="s">
        <v>1120</v>
      </c>
      <c r="B551" s="5" t="s">
        <v>1121</v>
      </c>
      <c r="C551" s="2" t="s">
        <v>32</v>
      </c>
      <c r="D551" s="1" t="s">
        <v>11</v>
      </c>
      <c r="E551" s="7">
        <v>1</v>
      </c>
      <c r="F551" s="12">
        <v>135</v>
      </c>
      <c r="G551" s="7">
        <v>0</v>
      </c>
      <c r="H551" s="10">
        <v>135</v>
      </c>
      <c r="I551" s="3">
        <v>45122</v>
      </c>
      <c r="J551" s="3" t="s">
        <v>2413</v>
      </c>
      <c r="K551" s="8">
        <v>2</v>
      </c>
    </row>
    <row r="552" spans="1:11" x14ac:dyDescent="0.25">
      <c r="A552" s="2" t="s">
        <v>1122</v>
      </c>
      <c r="B552" s="5" t="s">
        <v>1123</v>
      </c>
      <c r="C552" s="2" t="s">
        <v>47</v>
      </c>
      <c r="D552" s="1" t="s">
        <v>11</v>
      </c>
      <c r="E552" s="7">
        <v>1</v>
      </c>
      <c r="F552" s="12">
        <v>190</v>
      </c>
      <c r="G552" s="7">
        <v>0</v>
      </c>
      <c r="H552" s="10">
        <v>190</v>
      </c>
      <c r="I552" s="3">
        <v>45122</v>
      </c>
      <c r="J552" s="3" t="s">
        <v>2411</v>
      </c>
      <c r="K552" s="8">
        <v>3</v>
      </c>
    </row>
    <row r="553" spans="1:11" x14ac:dyDescent="0.25">
      <c r="A553" s="2" t="s">
        <v>1124</v>
      </c>
      <c r="B553" s="5" t="s">
        <v>1125</v>
      </c>
      <c r="C553" s="2" t="s">
        <v>32</v>
      </c>
      <c r="D553" s="1" t="s">
        <v>11</v>
      </c>
      <c r="E553" s="7">
        <v>1</v>
      </c>
      <c r="F553" s="12">
        <v>135</v>
      </c>
      <c r="G553" s="7">
        <v>0</v>
      </c>
      <c r="H553" s="10">
        <v>135</v>
      </c>
      <c r="I553" s="3">
        <v>45123</v>
      </c>
      <c r="J553" s="3" t="s">
        <v>2417</v>
      </c>
      <c r="K553" s="8">
        <v>4</v>
      </c>
    </row>
    <row r="554" spans="1:11" x14ac:dyDescent="0.25">
      <c r="A554" s="2" t="s">
        <v>1126</v>
      </c>
      <c r="B554" s="5" t="s">
        <v>1127</v>
      </c>
      <c r="C554" s="2" t="s">
        <v>32</v>
      </c>
      <c r="D554" s="1" t="s">
        <v>11</v>
      </c>
      <c r="E554" s="7">
        <v>1</v>
      </c>
      <c r="F554" s="12">
        <v>135</v>
      </c>
      <c r="G554" s="7">
        <v>0</v>
      </c>
      <c r="H554" s="10">
        <v>135</v>
      </c>
      <c r="I554" s="3">
        <v>45123</v>
      </c>
      <c r="J554" s="3" t="s">
        <v>2417</v>
      </c>
      <c r="K554" s="8">
        <v>2</v>
      </c>
    </row>
    <row r="555" spans="1:11" x14ac:dyDescent="0.25">
      <c r="A555" s="2" t="s">
        <v>1128</v>
      </c>
      <c r="B555" s="5" t="s">
        <v>1129</v>
      </c>
      <c r="C555" s="2" t="s">
        <v>19</v>
      </c>
      <c r="D555" s="1" t="s">
        <v>11</v>
      </c>
      <c r="E555" s="7">
        <v>1</v>
      </c>
      <c r="F555" s="12">
        <v>130</v>
      </c>
      <c r="G555" s="7">
        <v>5</v>
      </c>
      <c r="H555" s="10">
        <v>125</v>
      </c>
      <c r="I555" s="3">
        <v>45124</v>
      </c>
      <c r="J555" s="3" t="s">
        <v>2419</v>
      </c>
      <c r="K555" s="8">
        <v>2</v>
      </c>
    </row>
    <row r="556" spans="1:11" x14ac:dyDescent="0.25">
      <c r="A556" s="2" t="s">
        <v>1130</v>
      </c>
      <c r="B556" s="5" t="s">
        <v>1131</v>
      </c>
      <c r="C556" s="2" t="s">
        <v>19</v>
      </c>
      <c r="D556" s="1" t="s">
        <v>11</v>
      </c>
      <c r="E556" s="7">
        <v>1</v>
      </c>
      <c r="F556" s="12">
        <v>130</v>
      </c>
      <c r="G556" s="7">
        <v>10</v>
      </c>
      <c r="H556" s="10">
        <v>120</v>
      </c>
      <c r="I556" s="3">
        <v>45124</v>
      </c>
      <c r="J556" s="3" t="s">
        <v>2411</v>
      </c>
      <c r="K556" s="8">
        <v>2</v>
      </c>
    </row>
    <row r="557" spans="1:11" x14ac:dyDescent="0.25">
      <c r="A557" s="2" t="s">
        <v>1132</v>
      </c>
      <c r="B557" s="5" t="s">
        <v>1133</v>
      </c>
      <c r="C557" s="2" t="s">
        <v>19</v>
      </c>
      <c r="D557" s="1" t="s">
        <v>11</v>
      </c>
      <c r="E557" s="7">
        <v>1</v>
      </c>
      <c r="F557" s="12">
        <v>130</v>
      </c>
      <c r="G557" s="7">
        <v>5</v>
      </c>
      <c r="H557" s="10">
        <v>125</v>
      </c>
      <c r="I557" s="3">
        <v>45124</v>
      </c>
      <c r="J557" s="3" t="s">
        <v>2419</v>
      </c>
      <c r="K557" s="8">
        <v>2</v>
      </c>
    </row>
    <row r="558" spans="1:11" x14ac:dyDescent="0.25">
      <c r="A558" s="2" t="s">
        <v>1134</v>
      </c>
      <c r="B558" s="5" t="s">
        <v>1135</v>
      </c>
      <c r="C558" s="2" t="s">
        <v>19</v>
      </c>
      <c r="D558" s="1" t="s">
        <v>11</v>
      </c>
      <c r="E558" s="7">
        <v>1</v>
      </c>
      <c r="F558" s="12">
        <v>130</v>
      </c>
      <c r="G558" s="7">
        <v>10</v>
      </c>
      <c r="H558" s="10">
        <v>120</v>
      </c>
      <c r="I558" s="3">
        <v>45124</v>
      </c>
      <c r="J558" s="3" t="s">
        <v>2411</v>
      </c>
      <c r="K558" s="8">
        <v>4</v>
      </c>
    </row>
    <row r="559" spans="1:11" x14ac:dyDescent="0.25">
      <c r="A559" s="2" t="s">
        <v>1136</v>
      </c>
      <c r="B559" s="5" t="s">
        <v>1137</v>
      </c>
      <c r="C559" s="2" t="s">
        <v>32</v>
      </c>
      <c r="D559" s="1" t="s">
        <v>11</v>
      </c>
      <c r="E559" s="7">
        <v>2</v>
      </c>
      <c r="F559" s="12">
        <v>135</v>
      </c>
      <c r="G559" s="7">
        <v>5</v>
      </c>
      <c r="H559" s="10">
        <v>265</v>
      </c>
      <c r="I559" s="3">
        <v>45125</v>
      </c>
      <c r="J559" s="3" t="s">
        <v>2419</v>
      </c>
      <c r="K559" s="8">
        <v>1</v>
      </c>
    </row>
    <row r="560" spans="1:11" x14ac:dyDescent="0.25">
      <c r="A560" s="2" t="s">
        <v>1138</v>
      </c>
      <c r="B560" s="5" t="s">
        <v>1139</v>
      </c>
      <c r="C560" s="2" t="s">
        <v>19</v>
      </c>
      <c r="D560" s="1" t="s">
        <v>11</v>
      </c>
      <c r="E560" s="7">
        <v>1</v>
      </c>
      <c r="F560" s="12">
        <v>130</v>
      </c>
      <c r="G560" s="7">
        <v>0</v>
      </c>
      <c r="H560" s="10">
        <v>130</v>
      </c>
      <c r="I560" s="3">
        <v>45125</v>
      </c>
      <c r="J560" s="3" t="s">
        <v>2419</v>
      </c>
      <c r="K560" s="8">
        <v>1</v>
      </c>
    </row>
    <row r="561" spans="1:11" x14ac:dyDescent="0.25">
      <c r="A561" s="2" t="s">
        <v>1140</v>
      </c>
      <c r="B561" s="5" t="s">
        <v>1141</v>
      </c>
      <c r="C561" s="2" t="s">
        <v>32</v>
      </c>
      <c r="D561" s="1" t="s">
        <v>11</v>
      </c>
      <c r="E561" s="7">
        <v>2</v>
      </c>
      <c r="F561" s="12">
        <v>135</v>
      </c>
      <c r="G561" s="7">
        <v>5</v>
      </c>
      <c r="H561" s="10">
        <v>265</v>
      </c>
      <c r="I561" s="3">
        <v>45125</v>
      </c>
      <c r="J561" s="3" t="s">
        <v>2419</v>
      </c>
      <c r="K561" s="8">
        <v>4</v>
      </c>
    </row>
    <row r="562" spans="1:11" x14ac:dyDescent="0.25">
      <c r="A562" s="2" t="s">
        <v>1142</v>
      </c>
      <c r="B562" s="5" t="s">
        <v>1143</v>
      </c>
      <c r="C562" s="2" t="s">
        <v>19</v>
      </c>
      <c r="D562" s="1" t="s">
        <v>11</v>
      </c>
      <c r="E562" s="7">
        <v>1</v>
      </c>
      <c r="F562" s="12">
        <v>130</v>
      </c>
      <c r="G562" s="7">
        <v>0</v>
      </c>
      <c r="H562" s="10">
        <v>130</v>
      </c>
      <c r="I562" s="3">
        <v>45125</v>
      </c>
      <c r="J562" s="3" t="s">
        <v>2419</v>
      </c>
      <c r="K562" s="8">
        <v>3</v>
      </c>
    </row>
    <row r="563" spans="1:11" x14ac:dyDescent="0.25">
      <c r="A563" s="2" t="s">
        <v>1144</v>
      </c>
      <c r="B563" s="5" t="s">
        <v>1145</v>
      </c>
      <c r="C563" s="2" t="s">
        <v>32</v>
      </c>
      <c r="D563" s="1" t="s">
        <v>11</v>
      </c>
      <c r="E563" s="7">
        <v>2</v>
      </c>
      <c r="F563" s="12">
        <v>135</v>
      </c>
      <c r="G563" s="7">
        <v>5</v>
      </c>
      <c r="H563" s="10">
        <v>265</v>
      </c>
      <c r="I563" s="3">
        <v>45125</v>
      </c>
      <c r="J563" s="3" t="s">
        <v>2419</v>
      </c>
      <c r="K563" s="8">
        <v>4</v>
      </c>
    </row>
    <row r="564" spans="1:11" x14ac:dyDescent="0.25">
      <c r="A564" s="2" t="s">
        <v>1146</v>
      </c>
      <c r="B564" s="5" t="s">
        <v>1147</v>
      </c>
      <c r="C564" s="2" t="s">
        <v>10</v>
      </c>
      <c r="D564" s="1" t="s">
        <v>11</v>
      </c>
      <c r="E564" s="7">
        <v>3</v>
      </c>
      <c r="F564" s="12">
        <v>160</v>
      </c>
      <c r="G564" s="7">
        <v>0</v>
      </c>
      <c r="H564" s="10">
        <v>480</v>
      </c>
      <c r="I564" s="3">
        <v>45126</v>
      </c>
      <c r="J564" s="3" t="s">
        <v>2419</v>
      </c>
      <c r="K564" s="8">
        <v>1</v>
      </c>
    </row>
    <row r="565" spans="1:11" x14ac:dyDescent="0.25">
      <c r="A565" s="2" t="s">
        <v>1148</v>
      </c>
      <c r="B565" s="5" t="s">
        <v>1149</v>
      </c>
      <c r="C565" s="2" t="s">
        <v>10</v>
      </c>
      <c r="D565" s="1" t="s">
        <v>11</v>
      </c>
      <c r="E565" s="7">
        <v>1</v>
      </c>
      <c r="F565" s="12">
        <v>160</v>
      </c>
      <c r="G565" s="7">
        <v>5</v>
      </c>
      <c r="H565" s="10">
        <v>155</v>
      </c>
      <c r="I565" s="3">
        <v>45126</v>
      </c>
      <c r="J565" s="3" t="s">
        <v>2419</v>
      </c>
      <c r="K565" s="8">
        <v>4</v>
      </c>
    </row>
    <row r="566" spans="1:11" x14ac:dyDescent="0.25">
      <c r="A566" s="2" t="s">
        <v>1150</v>
      </c>
      <c r="B566" s="5" t="s">
        <v>1151</v>
      </c>
      <c r="C566" s="2" t="s">
        <v>10</v>
      </c>
      <c r="D566" s="1" t="s">
        <v>11</v>
      </c>
      <c r="E566" s="7">
        <v>3</v>
      </c>
      <c r="F566" s="12">
        <v>160</v>
      </c>
      <c r="G566" s="7">
        <v>0</v>
      </c>
      <c r="H566" s="10">
        <v>480</v>
      </c>
      <c r="I566" s="3">
        <v>45126</v>
      </c>
      <c r="J566" s="3" t="s">
        <v>2419</v>
      </c>
      <c r="K566" s="8">
        <v>4</v>
      </c>
    </row>
    <row r="567" spans="1:11" x14ac:dyDescent="0.25">
      <c r="A567" s="2" t="s">
        <v>1152</v>
      </c>
      <c r="B567" s="5" t="s">
        <v>1153</v>
      </c>
      <c r="C567" s="2" t="s">
        <v>10</v>
      </c>
      <c r="D567" s="1" t="s">
        <v>11</v>
      </c>
      <c r="E567" s="7">
        <v>1</v>
      </c>
      <c r="F567" s="12">
        <v>160</v>
      </c>
      <c r="G567" s="7">
        <v>5</v>
      </c>
      <c r="H567" s="10">
        <v>155</v>
      </c>
      <c r="I567" s="3">
        <v>45126</v>
      </c>
      <c r="J567" s="3" t="s">
        <v>2419</v>
      </c>
      <c r="K567" s="8">
        <v>1</v>
      </c>
    </row>
    <row r="568" spans="1:11" x14ac:dyDescent="0.25">
      <c r="A568" s="2" t="s">
        <v>1154</v>
      </c>
      <c r="B568" s="5" t="s">
        <v>1155</v>
      </c>
      <c r="C568" s="2" t="s">
        <v>10</v>
      </c>
      <c r="D568" s="1" t="s">
        <v>11</v>
      </c>
      <c r="E568" s="7">
        <v>1</v>
      </c>
      <c r="F568" s="12">
        <v>160</v>
      </c>
      <c r="G568" s="7">
        <v>5</v>
      </c>
      <c r="H568" s="10">
        <v>155</v>
      </c>
      <c r="I568" s="3">
        <v>45126</v>
      </c>
      <c r="J568" s="3" t="s">
        <v>2419</v>
      </c>
      <c r="K568" s="8">
        <v>4</v>
      </c>
    </row>
    <row r="569" spans="1:11" x14ac:dyDescent="0.25">
      <c r="A569" s="2" t="s">
        <v>1156</v>
      </c>
      <c r="B569" s="5" t="s">
        <v>1157</v>
      </c>
      <c r="C569" s="2" t="s">
        <v>32</v>
      </c>
      <c r="D569" s="1" t="s">
        <v>11</v>
      </c>
      <c r="E569" s="7">
        <v>1</v>
      </c>
      <c r="F569" s="12">
        <v>135</v>
      </c>
      <c r="G569" s="7">
        <v>10</v>
      </c>
      <c r="H569" s="10">
        <v>125</v>
      </c>
      <c r="I569" s="3">
        <v>45127</v>
      </c>
      <c r="J569" s="3" t="s">
        <v>2423</v>
      </c>
      <c r="K569" s="8">
        <v>1</v>
      </c>
    </row>
    <row r="570" spans="1:11" x14ac:dyDescent="0.25">
      <c r="A570" s="2" t="s">
        <v>1158</v>
      </c>
      <c r="B570" s="5" t="s">
        <v>1159</v>
      </c>
      <c r="C570" s="2" t="s">
        <v>19</v>
      </c>
      <c r="D570" s="1" t="s">
        <v>11</v>
      </c>
      <c r="E570" s="7">
        <v>1</v>
      </c>
      <c r="F570" s="12">
        <v>130</v>
      </c>
      <c r="G570" s="7">
        <v>10</v>
      </c>
      <c r="H570" s="10">
        <v>120</v>
      </c>
      <c r="I570" s="3">
        <v>45127</v>
      </c>
      <c r="J570" s="3" t="s">
        <v>2424</v>
      </c>
      <c r="K570" s="8">
        <v>3</v>
      </c>
    </row>
    <row r="571" spans="1:11" x14ac:dyDescent="0.25">
      <c r="A571" s="2" t="s">
        <v>1160</v>
      </c>
      <c r="B571" s="5" t="s">
        <v>1161</v>
      </c>
      <c r="C571" s="2" t="s">
        <v>19</v>
      </c>
      <c r="D571" s="1" t="s">
        <v>11</v>
      </c>
      <c r="E571" s="7">
        <v>1</v>
      </c>
      <c r="F571" s="12">
        <v>130</v>
      </c>
      <c r="G571" s="7">
        <v>10</v>
      </c>
      <c r="H571" s="10">
        <v>120</v>
      </c>
      <c r="I571" s="3">
        <v>45127</v>
      </c>
      <c r="J571" s="3" t="s">
        <v>2423</v>
      </c>
      <c r="K571" s="8">
        <v>4</v>
      </c>
    </row>
    <row r="572" spans="1:11" x14ac:dyDescent="0.25">
      <c r="A572" s="2" t="s">
        <v>1162</v>
      </c>
      <c r="B572" s="5" t="s">
        <v>1163</v>
      </c>
      <c r="C572" s="2" t="s">
        <v>32</v>
      </c>
      <c r="D572" s="1" t="s">
        <v>11</v>
      </c>
      <c r="E572" s="7">
        <v>1</v>
      </c>
      <c r="F572" s="12">
        <v>135</v>
      </c>
      <c r="G572" s="7">
        <v>10</v>
      </c>
      <c r="H572" s="10">
        <v>125</v>
      </c>
      <c r="I572" s="3">
        <v>45127</v>
      </c>
      <c r="J572" s="3" t="s">
        <v>2423</v>
      </c>
      <c r="K572" s="8">
        <v>4</v>
      </c>
    </row>
    <row r="573" spans="1:11" x14ac:dyDescent="0.25">
      <c r="A573" s="2" t="s">
        <v>1164</v>
      </c>
      <c r="B573" s="5" t="s">
        <v>1165</v>
      </c>
      <c r="C573" s="2" t="s">
        <v>19</v>
      </c>
      <c r="D573" s="1" t="s">
        <v>11</v>
      </c>
      <c r="E573" s="7">
        <v>1</v>
      </c>
      <c r="F573" s="12">
        <v>130</v>
      </c>
      <c r="G573" s="7">
        <v>10</v>
      </c>
      <c r="H573" s="10">
        <v>120</v>
      </c>
      <c r="I573" s="3">
        <v>45127</v>
      </c>
      <c r="J573" s="3" t="s">
        <v>2424</v>
      </c>
      <c r="K573" s="8">
        <v>3</v>
      </c>
    </row>
    <row r="574" spans="1:11" x14ac:dyDescent="0.25">
      <c r="A574" s="2" t="s">
        <v>1166</v>
      </c>
      <c r="B574" s="5" t="s">
        <v>1167</v>
      </c>
      <c r="C574" s="2" t="s">
        <v>19</v>
      </c>
      <c r="D574" s="1" t="s">
        <v>11</v>
      </c>
      <c r="E574" s="7">
        <v>1</v>
      </c>
      <c r="F574" s="12">
        <v>130</v>
      </c>
      <c r="G574" s="7">
        <v>10</v>
      </c>
      <c r="H574" s="10">
        <v>120</v>
      </c>
      <c r="I574" s="3">
        <v>45127</v>
      </c>
      <c r="J574" s="3" t="s">
        <v>2423</v>
      </c>
      <c r="K574" s="8">
        <v>1</v>
      </c>
    </row>
    <row r="575" spans="1:11" x14ac:dyDescent="0.25">
      <c r="A575" s="2" t="s">
        <v>1168</v>
      </c>
      <c r="B575" s="5" t="s">
        <v>1169</v>
      </c>
      <c r="C575" s="2" t="s">
        <v>70</v>
      </c>
      <c r="D575" s="1" t="s">
        <v>11</v>
      </c>
      <c r="E575" s="7">
        <v>1</v>
      </c>
      <c r="F575" s="12">
        <v>125</v>
      </c>
      <c r="G575" s="7">
        <v>0</v>
      </c>
      <c r="H575" s="10">
        <v>125</v>
      </c>
      <c r="I575" s="3">
        <v>45128</v>
      </c>
      <c r="J575" s="3" t="s">
        <v>2423</v>
      </c>
      <c r="K575" s="8">
        <v>4</v>
      </c>
    </row>
    <row r="576" spans="1:11" x14ac:dyDescent="0.25">
      <c r="A576" s="2" t="s">
        <v>1170</v>
      </c>
      <c r="B576" s="5" t="s">
        <v>1171</v>
      </c>
      <c r="C576" s="2" t="s">
        <v>70</v>
      </c>
      <c r="D576" s="1" t="s">
        <v>11</v>
      </c>
      <c r="E576" s="7">
        <v>1</v>
      </c>
      <c r="F576" s="12">
        <v>125</v>
      </c>
      <c r="G576" s="7">
        <v>0</v>
      </c>
      <c r="H576" s="10">
        <v>125</v>
      </c>
      <c r="I576" s="3">
        <v>45128</v>
      </c>
      <c r="J576" s="3" t="s">
        <v>2423</v>
      </c>
      <c r="K576" s="8">
        <v>2</v>
      </c>
    </row>
    <row r="577" spans="1:11" x14ac:dyDescent="0.25">
      <c r="A577" s="2" t="s">
        <v>1172</v>
      </c>
      <c r="B577" s="5" t="s">
        <v>1173</v>
      </c>
      <c r="C577" s="2" t="s">
        <v>70</v>
      </c>
      <c r="D577" s="1" t="s">
        <v>11</v>
      </c>
      <c r="E577" s="7">
        <v>1</v>
      </c>
      <c r="F577" s="12">
        <v>125</v>
      </c>
      <c r="G577" s="7">
        <v>0</v>
      </c>
      <c r="H577" s="10">
        <v>125</v>
      </c>
      <c r="I577" s="3">
        <v>45128</v>
      </c>
      <c r="J577" s="3" t="s">
        <v>2423</v>
      </c>
      <c r="K577" s="8">
        <v>4</v>
      </c>
    </row>
    <row r="578" spans="1:11" x14ac:dyDescent="0.25">
      <c r="A578" s="2" t="s">
        <v>1174</v>
      </c>
      <c r="B578" s="5" t="s">
        <v>1175</v>
      </c>
      <c r="C578" s="2" t="s">
        <v>32</v>
      </c>
      <c r="D578" s="1" t="s">
        <v>11</v>
      </c>
      <c r="E578" s="7">
        <v>1</v>
      </c>
      <c r="F578" s="12">
        <v>135</v>
      </c>
      <c r="G578" s="7">
        <v>0</v>
      </c>
      <c r="H578" s="10">
        <v>135</v>
      </c>
      <c r="I578" s="3">
        <v>45129</v>
      </c>
      <c r="J578" s="3" t="s">
        <v>2424</v>
      </c>
      <c r="K578" s="8">
        <v>4</v>
      </c>
    </row>
    <row r="579" spans="1:11" x14ac:dyDescent="0.25">
      <c r="A579" s="2" t="s">
        <v>1176</v>
      </c>
      <c r="B579" s="5" t="s">
        <v>1177</v>
      </c>
      <c r="C579" s="2" t="s">
        <v>32</v>
      </c>
      <c r="D579" s="1" t="s">
        <v>11</v>
      </c>
      <c r="E579" s="7">
        <v>1</v>
      </c>
      <c r="F579" s="12">
        <v>135</v>
      </c>
      <c r="G579" s="7">
        <v>0</v>
      </c>
      <c r="H579" s="10">
        <v>135</v>
      </c>
      <c r="I579" s="3">
        <v>45129</v>
      </c>
      <c r="J579" s="3" t="s">
        <v>2424</v>
      </c>
      <c r="K579" s="8">
        <v>2</v>
      </c>
    </row>
    <row r="580" spans="1:11" x14ac:dyDescent="0.25">
      <c r="A580" s="2" t="s">
        <v>1178</v>
      </c>
      <c r="B580" s="5" t="s">
        <v>1179</v>
      </c>
      <c r="C580" s="2" t="s">
        <v>32</v>
      </c>
      <c r="D580" s="1" t="s">
        <v>11</v>
      </c>
      <c r="E580" s="7">
        <v>1</v>
      </c>
      <c r="F580" s="12">
        <v>135</v>
      </c>
      <c r="G580" s="7">
        <v>0</v>
      </c>
      <c r="H580" s="10">
        <v>135</v>
      </c>
      <c r="I580" s="3">
        <v>45129</v>
      </c>
      <c r="J580" s="3" t="s">
        <v>2424</v>
      </c>
      <c r="K580" s="8">
        <v>1</v>
      </c>
    </row>
    <row r="581" spans="1:11" x14ac:dyDescent="0.25">
      <c r="A581" s="2" t="s">
        <v>1180</v>
      </c>
      <c r="B581" s="5" t="s">
        <v>1181</v>
      </c>
      <c r="C581" s="2" t="s">
        <v>19</v>
      </c>
      <c r="D581" s="1" t="s">
        <v>11</v>
      </c>
      <c r="E581" s="7">
        <v>1</v>
      </c>
      <c r="F581" s="12">
        <v>130</v>
      </c>
      <c r="G581" s="7">
        <v>0</v>
      </c>
      <c r="H581" s="10">
        <v>130</v>
      </c>
      <c r="I581" s="3">
        <v>45130</v>
      </c>
      <c r="J581" s="3" t="s">
        <v>2428</v>
      </c>
      <c r="K581" s="8">
        <v>2</v>
      </c>
    </row>
    <row r="582" spans="1:11" x14ac:dyDescent="0.25">
      <c r="A582" s="2" t="s">
        <v>1182</v>
      </c>
      <c r="B582" s="5" t="s">
        <v>1183</v>
      </c>
      <c r="C582" s="2" t="s">
        <v>19</v>
      </c>
      <c r="D582" s="1" t="s">
        <v>11</v>
      </c>
      <c r="E582" s="7">
        <v>1</v>
      </c>
      <c r="F582" s="12">
        <v>130</v>
      </c>
      <c r="G582" s="7">
        <v>0</v>
      </c>
      <c r="H582" s="10">
        <v>130</v>
      </c>
      <c r="I582" s="3">
        <v>45130</v>
      </c>
      <c r="J582" s="3" t="s">
        <v>2429</v>
      </c>
      <c r="K582" s="8">
        <v>2</v>
      </c>
    </row>
    <row r="583" spans="1:11" x14ac:dyDescent="0.25">
      <c r="A583" s="2" t="s">
        <v>1184</v>
      </c>
      <c r="B583" s="5" t="s">
        <v>1185</v>
      </c>
      <c r="C583" s="2" t="s">
        <v>19</v>
      </c>
      <c r="D583" s="1" t="s">
        <v>11</v>
      </c>
      <c r="E583" s="7">
        <v>1</v>
      </c>
      <c r="F583" s="12">
        <v>130</v>
      </c>
      <c r="G583" s="7">
        <v>0</v>
      </c>
      <c r="H583" s="10">
        <v>130</v>
      </c>
      <c r="I583" s="3">
        <v>45130</v>
      </c>
      <c r="J583" s="3" t="s">
        <v>2428</v>
      </c>
      <c r="K583" s="8">
        <v>2</v>
      </c>
    </row>
    <row r="584" spans="1:11" x14ac:dyDescent="0.25">
      <c r="A584" s="2" t="s">
        <v>1186</v>
      </c>
      <c r="B584" s="5" t="s">
        <v>1187</v>
      </c>
      <c r="C584" s="2" t="s">
        <v>19</v>
      </c>
      <c r="D584" s="1" t="s">
        <v>11</v>
      </c>
      <c r="E584" s="7">
        <v>1</v>
      </c>
      <c r="F584" s="12">
        <v>130</v>
      </c>
      <c r="G584" s="7">
        <v>0</v>
      </c>
      <c r="H584" s="10">
        <v>130</v>
      </c>
      <c r="I584" s="3">
        <v>45130</v>
      </c>
      <c r="J584" s="3" t="s">
        <v>2429</v>
      </c>
      <c r="K584" s="8">
        <v>3</v>
      </c>
    </row>
    <row r="585" spans="1:11" x14ac:dyDescent="0.25">
      <c r="A585" s="2" t="s">
        <v>1188</v>
      </c>
      <c r="B585" s="5" t="s">
        <v>1189</v>
      </c>
      <c r="C585" s="2" t="s">
        <v>19</v>
      </c>
      <c r="D585" s="1" t="s">
        <v>11</v>
      </c>
      <c r="E585" s="7">
        <v>1</v>
      </c>
      <c r="F585" s="12">
        <v>130</v>
      </c>
      <c r="G585" s="7">
        <v>0</v>
      </c>
      <c r="H585" s="10">
        <v>130</v>
      </c>
      <c r="I585" s="3">
        <v>45130</v>
      </c>
      <c r="J585" s="3" t="s">
        <v>2429</v>
      </c>
      <c r="K585" s="8">
        <v>1</v>
      </c>
    </row>
    <row r="586" spans="1:11" x14ac:dyDescent="0.25">
      <c r="A586" s="2" t="s">
        <v>1190</v>
      </c>
      <c r="B586" s="5" t="s">
        <v>1191</v>
      </c>
      <c r="C586" s="2" t="s">
        <v>32</v>
      </c>
      <c r="D586" s="1" t="s">
        <v>11</v>
      </c>
      <c r="E586" s="7">
        <v>1</v>
      </c>
      <c r="F586" s="12">
        <v>135</v>
      </c>
      <c r="G586" s="7">
        <v>5</v>
      </c>
      <c r="H586" s="10">
        <v>130</v>
      </c>
      <c r="I586" s="3">
        <v>45131</v>
      </c>
      <c r="J586" s="3" t="s">
        <v>2431</v>
      </c>
      <c r="K586" s="8">
        <v>4</v>
      </c>
    </row>
    <row r="587" spans="1:11" x14ac:dyDescent="0.25">
      <c r="A587" s="2" t="s">
        <v>1192</v>
      </c>
      <c r="B587" s="5" t="s">
        <v>1193</v>
      </c>
      <c r="C587" s="2" t="s">
        <v>32</v>
      </c>
      <c r="D587" s="1" t="s">
        <v>11</v>
      </c>
      <c r="E587" s="7">
        <v>1</v>
      </c>
      <c r="F587" s="12">
        <v>135</v>
      </c>
      <c r="G587" s="7">
        <v>5</v>
      </c>
      <c r="H587" s="10">
        <v>130</v>
      </c>
      <c r="I587" s="3">
        <v>45131</v>
      </c>
      <c r="J587" s="3" t="s">
        <v>2431</v>
      </c>
      <c r="K587" s="8">
        <v>2</v>
      </c>
    </row>
    <row r="588" spans="1:11" x14ac:dyDescent="0.25">
      <c r="A588" s="2" t="s">
        <v>1194</v>
      </c>
      <c r="B588" s="5" t="s">
        <v>1195</v>
      </c>
      <c r="C588" s="2" t="s">
        <v>47</v>
      </c>
      <c r="D588" s="1" t="s">
        <v>11</v>
      </c>
      <c r="E588" s="7">
        <v>1</v>
      </c>
      <c r="F588" s="12">
        <v>190</v>
      </c>
      <c r="G588" s="7">
        <v>10</v>
      </c>
      <c r="H588" s="10">
        <v>180</v>
      </c>
      <c r="I588" s="3">
        <v>45132</v>
      </c>
      <c r="J588" s="3" t="s">
        <v>2433</v>
      </c>
      <c r="K588" s="8">
        <v>3</v>
      </c>
    </row>
    <row r="589" spans="1:11" x14ac:dyDescent="0.25">
      <c r="A589" s="2" t="s">
        <v>1196</v>
      </c>
      <c r="B589" s="5" t="s">
        <v>1197</v>
      </c>
      <c r="C589" s="2" t="s">
        <v>47</v>
      </c>
      <c r="D589" s="1" t="s">
        <v>11</v>
      </c>
      <c r="E589" s="7">
        <v>1</v>
      </c>
      <c r="F589" s="12">
        <v>190</v>
      </c>
      <c r="G589" s="7">
        <v>10</v>
      </c>
      <c r="H589" s="10">
        <v>180</v>
      </c>
      <c r="I589" s="3">
        <v>45132</v>
      </c>
      <c r="J589" s="3" t="s">
        <v>2433</v>
      </c>
      <c r="K589" s="8">
        <v>2</v>
      </c>
    </row>
    <row r="590" spans="1:11" x14ac:dyDescent="0.25">
      <c r="A590" s="2" t="s">
        <v>1198</v>
      </c>
      <c r="B590" s="5" t="s">
        <v>1199</v>
      </c>
      <c r="C590" s="2" t="s">
        <v>19</v>
      </c>
      <c r="D590" s="1" t="s">
        <v>11</v>
      </c>
      <c r="E590" s="7">
        <v>1</v>
      </c>
      <c r="F590" s="12">
        <v>130</v>
      </c>
      <c r="G590" s="7">
        <v>0</v>
      </c>
      <c r="H590" s="10">
        <v>130</v>
      </c>
      <c r="I590" s="3">
        <v>45133</v>
      </c>
      <c r="J590" s="3" t="s">
        <v>2435</v>
      </c>
      <c r="K590" s="8">
        <v>3</v>
      </c>
    </row>
    <row r="591" spans="1:11" x14ac:dyDescent="0.25">
      <c r="A591" s="2" t="s">
        <v>1200</v>
      </c>
      <c r="B591" s="5" t="s">
        <v>1201</v>
      </c>
      <c r="C591" s="2" t="s">
        <v>19</v>
      </c>
      <c r="D591" s="1" t="s">
        <v>11</v>
      </c>
      <c r="E591" s="7">
        <v>1</v>
      </c>
      <c r="F591" s="12">
        <v>130</v>
      </c>
      <c r="G591" s="7">
        <v>0</v>
      </c>
      <c r="H591" s="10">
        <v>130</v>
      </c>
      <c r="I591" s="3">
        <v>45133</v>
      </c>
      <c r="J591" s="3" t="s">
        <v>2435</v>
      </c>
      <c r="K591" s="8">
        <v>3</v>
      </c>
    </row>
    <row r="592" spans="1:11" x14ac:dyDescent="0.25">
      <c r="A592" s="2" t="s">
        <v>1202</v>
      </c>
      <c r="B592" s="5" t="s">
        <v>1203</v>
      </c>
      <c r="C592" s="2" t="s">
        <v>32</v>
      </c>
      <c r="D592" s="1" t="s">
        <v>11</v>
      </c>
      <c r="E592" s="7">
        <v>1</v>
      </c>
      <c r="F592" s="12">
        <v>135</v>
      </c>
      <c r="G592" s="7">
        <v>0</v>
      </c>
      <c r="H592" s="10">
        <v>135</v>
      </c>
      <c r="I592" s="3">
        <v>45134</v>
      </c>
      <c r="J592" s="3" t="s">
        <v>2431</v>
      </c>
      <c r="K592" s="8">
        <v>2</v>
      </c>
    </row>
    <row r="593" spans="1:11" x14ac:dyDescent="0.25">
      <c r="A593" s="2" t="s">
        <v>1204</v>
      </c>
      <c r="B593" s="5" t="s">
        <v>1205</v>
      </c>
      <c r="C593" s="2" t="s">
        <v>19</v>
      </c>
      <c r="D593" s="1" t="s">
        <v>11</v>
      </c>
      <c r="E593" s="7">
        <v>1</v>
      </c>
      <c r="F593" s="12">
        <v>130</v>
      </c>
      <c r="G593" s="7">
        <v>0</v>
      </c>
      <c r="H593" s="10">
        <v>130</v>
      </c>
      <c r="I593" s="3">
        <v>45134</v>
      </c>
      <c r="J593" s="3" t="s">
        <v>2431</v>
      </c>
      <c r="K593" s="8">
        <v>1</v>
      </c>
    </row>
    <row r="594" spans="1:11" x14ac:dyDescent="0.25">
      <c r="A594" s="2" t="s">
        <v>1206</v>
      </c>
      <c r="B594" s="5" t="s">
        <v>1207</v>
      </c>
      <c r="C594" s="2" t="s">
        <v>19</v>
      </c>
      <c r="D594" s="1" t="s">
        <v>11</v>
      </c>
      <c r="E594" s="7">
        <v>1</v>
      </c>
      <c r="F594" s="12">
        <v>130</v>
      </c>
      <c r="G594" s="7">
        <v>0</v>
      </c>
      <c r="H594" s="10">
        <v>130</v>
      </c>
      <c r="I594" s="3">
        <v>45134</v>
      </c>
      <c r="J594" s="3" t="s">
        <v>2437</v>
      </c>
      <c r="K594" s="8">
        <v>4</v>
      </c>
    </row>
    <row r="595" spans="1:11" x14ac:dyDescent="0.25">
      <c r="A595" s="2" t="s">
        <v>1208</v>
      </c>
      <c r="B595" s="5" t="s">
        <v>1209</v>
      </c>
      <c r="C595" s="2" t="s">
        <v>32</v>
      </c>
      <c r="D595" s="1" t="s">
        <v>11</v>
      </c>
      <c r="E595" s="7">
        <v>1</v>
      </c>
      <c r="F595" s="12">
        <v>135</v>
      </c>
      <c r="G595" s="7">
        <v>0</v>
      </c>
      <c r="H595" s="10">
        <v>135</v>
      </c>
      <c r="I595" s="3">
        <v>45134</v>
      </c>
      <c r="J595" s="3" t="s">
        <v>2431</v>
      </c>
      <c r="K595" s="8">
        <v>3</v>
      </c>
    </row>
    <row r="596" spans="1:11" x14ac:dyDescent="0.25">
      <c r="A596" s="2" t="s">
        <v>1210</v>
      </c>
      <c r="B596" s="5" t="s">
        <v>1211</v>
      </c>
      <c r="C596" s="2" t="s">
        <v>19</v>
      </c>
      <c r="D596" s="1" t="s">
        <v>11</v>
      </c>
      <c r="E596" s="7">
        <v>1</v>
      </c>
      <c r="F596" s="12">
        <v>130</v>
      </c>
      <c r="G596" s="7">
        <v>0</v>
      </c>
      <c r="H596" s="10">
        <v>130</v>
      </c>
      <c r="I596" s="3">
        <v>45134</v>
      </c>
      <c r="J596" s="3" t="s">
        <v>2431</v>
      </c>
      <c r="K596" s="8">
        <v>2</v>
      </c>
    </row>
    <row r="597" spans="1:11" x14ac:dyDescent="0.25">
      <c r="A597" s="2" t="s">
        <v>1212</v>
      </c>
      <c r="B597" s="5" t="s">
        <v>1213</v>
      </c>
      <c r="C597" s="2" t="s">
        <v>19</v>
      </c>
      <c r="D597" s="1" t="s">
        <v>11</v>
      </c>
      <c r="E597" s="7">
        <v>1</v>
      </c>
      <c r="F597" s="12">
        <v>130</v>
      </c>
      <c r="G597" s="7">
        <v>0</v>
      </c>
      <c r="H597" s="10">
        <v>130</v>
      </c>
      <c r="I597" s="3">
        <v>45134</v>
      </c>
      <c r="J597" s="3" t="s">
        <v>2437</v>
      </c>
      <c r="K597" s="8">
        <v>1</v>
      </c>
    </row>
    <row r="598" spans="1:11" x14ac:dyDescent="0.25">
      <c r="A598" s="2" t="s">
        <v>1214</v>
      </c>
      <c r="B598" s="5" t="s">
        <v>1215</v>
      </c>
      <c r="C598" s="2" t="s">
        <v>32</v>
      </c>
      <c r="D598" s="1" t="s">
        <v>11</v>
      </c>
      <c r="E598" s="7">
        <v>1</v>
      </c>
      <c r="F598" s="12">
        <v>135</v>
      </c>
      <c r="G598" s="7">
        <v>0</v>
      </c>
      <c r="H598" s="10">
        <v>135</v>
      </c>
      <c r="I598" s="3">
        <v>45134</v>
      </c>
      <c r="J598" s="3" t="s">
        <v>2431</v>
      </c>
      <c r="K598" s="8">
        <v>1</v>
      </c>
    </row>
    <row r="599" spans="1:11" x14ac:dyDescent="0.25">
      <c r="A599" s="2" t="s">
        <v>1216</v>
      </c>
      <c r="B599" s="5" t="s">
        <v>1217</v>
      </c>
      <c r="C599" s="2" t="s">
        <v>19</v>
      </c>
      <c r="D599" s="1" t="s">
        <v>11</v>
      </c>
      <c r="E599" s="7">
        <v>1</v>
      </c>
      <c r="F599" s="12">
        <v>130</v>
      </c>
      <c r="G599" s="7">
        <v>0</v>
      </c>
      <c r="H599" s="10">
        <v>130</v>
      </c>
      <c r="I599" s="3">
        <v>45134</v>
      </c>
      <c r="J599" s="3" t="s">
        <v>2431</v>
      </c>
      <c r="K599" s="8">
        <v>1</v>
      </c>
    </row>
    <row r="600" spans="1:11" x14ac:dyDescent="0.25">
      <c r="A600" s="2" t="s">
        <v>1218</v>
      </c>
      <c r="B600" s="5" t="s">
        <v>1219</v>
      </c>
      <c r="C600" s="2" t="s">
        <v>19</v>
      </c>
      <c r="D600" s="1" t="s">
        <v>11</v>
      </c>
      <c r="E600" s="7">
        <v>1</v>
      </c>
      <c r="F600" s="12">
        <v>130</v>
      </c>
      <c r="G600" s="7">
        <v>0</v>
      </c>
      <c r="H600" s="10">
        <v>130</v>
      </c>
      <c r="I600" s="3">
        <v>45134</v>
      </c>
      <c r="J600" s="3" t="s">
        <v>2437</v>
      </c>
      <c r="K600" s="8">
        <v>4</v>
      </c>
    </row>
    <row r="601" spans="1:11" x14ac:dyDescent="0.25">
      <c r="A601" s="2" t="s">
        <v>1220</v>
      </c>
      <c r="B601" s="5" t="s">
        <v>1221</v>
      </c>
      <c r="C601" s="2" t="s">
        <v>19</v>
      </c>
      <c r="D601" s="1" t="s">
        <v>11</v>
      </c>
      <c r="E601" s="7">
        <v>2</v>
      </c>
      <c r="F601" s="12">
        <v>130</v>
      </c>
      <c r="G601" s="7">
        <v>0</v>
      </c>
      <c r="H601" s="10">
        <v>260</v>
      </c>
      <c r="I601" s="3">
        <v>45135</v>
      </c>
      <c r="J601" s="3" t="s">
        <v>2439</v>
      </c>
      <c r="K601" s="8">
        <v>2</v>
      </c>
    </row>
    <row r="602" spans="1:11" x14ac:dyDescent="0.25">
      <c r="A602" s="2" t="s">
        <v>1222</v>
      </c>
      <c r="B602" s="5" t="s">
        <v>1223</v>
      </c>
      <c r="C602" s="2" t="s">
        <v>19</v>
      </c>
      <c r="D602" s="1" t="s">
        <v>11</v>
      </c>
      <c r="E602" s="7">
        <v>2</v>
      </c>
      <c r="F602" s="12">
        <v>130</v>
      </c>
      <c r="G602" s="7">
        <v>0</v>
      </c>
      <c r="H602" s="10">
        <v>260</v>
      </c>
      <c r="I602" s="3">
        <v>45135</v>
      </c>
      <c r="J602" s="3" t="s">
        <v>2439</v>
      </c>
      <c r="K602" s="8">
        <v>1</v>
      </c>
    </row>
    <row r="603" spans="1:11" x14ac:dyDescent="0.25">
      <c r="A603" s="2" t="s">
        <v>1224</v>
      </c>
      <c r="B603" s="5" t="s">
        <v>1225</v>
      </c>
      <c r="C603" s="2" t="s">
        <v>47</v>
      </c>
      <c r="D603" s="1" t="s">
        <v>11</v>
      </c>
      <c r="E603" s="7">
        <v>3</v>
      </c>
      <c r="F603" s="12">
        <v>190</v>
      </c>
      <c r="G603" s="7">
        <v>0</v>
      </c>
      <c r="H603" s="10">
        <v>570</v>
      </c>
      <c r="I603" s="3">
        <v>45136</v>
      </c>
      <c r="J603" s="3" t="s">
        <v>2441</v>
      </c>
      <c r="K603" s="8">
        <v>1</v>
      </c>
    </row>
    <row r="604" spans="1:11" x14ac:dyDescent="0.25">
      <c r="A604" s="2" t="s">
        <v>1226</v>
      </c>
      <c r="B604" s="5" t="s">
        <v>1227</v>
      </c>
      <c r="C604" s="2" t="s">
        <v>47</v>
      </c>
      <c r="D604" s="1" t="s">
        <v>11</v>
      </c>
      <c r="E604" s="7">
        <v>3</v>
      </c>
      <c r="F604" s="12">
        <v>190</v>
      </c>
      <c r="G604" s="7">
        <v>0</v>
      </c>
      <c r="H604" s="10">
        <v>570</v>
      </c>
      <c r="I604" s="3">
        <v>45136</v>
      </c>
      <c r="J604" s="3" t="s">
        <v>2441</v>
      </c>
      <c r="K604" s="8">
        <v>2</v>
      </c>
    </row>
    <row r="605" spans="1:11" x14ac:dyDescent="0.25">
      <c r="A605" s="2" t="s">
        <v>1228</v>
      </c>
      <c r="B605" s="5" t="s">
        <v>1229</v>
      </c>
      <c r="C605" s="2" t="s">
        <v>19</v>
      </c>
      <c r="D605" s="1" t="s">
        <v>11</v>
      </c>
      <c r="E605" s="7">
        <v>1</v>
      </c>
      <c r="F605" s="12">
        <v>130</v>
      </c>
      <c r="G605" s="7">
        <v>5</v>
      </c>
      <c r="H605" s="10">
        <v>125</v>
      </c>
      <c r="I605" s="3">
        <v>45137</v>
      </c>
      <c r="J605" s="3" t="s">
        <v>2437</v>
      </c>
      <c r="K605" s="8">
        <v>1</v>
      </c>
    </row>
    <row r="606" spans="1:11" x14ac:dyDescent="0.25">
      <c r="A606" s="2" t="s">
        <v>1230</v>
      </c>
      <c r="B606" s="5" t="s">
        <v>1231</v>
      </c>
      <c r="C606" s="2" t="s">
        <v>47</v>
      </c>
      <c r="D606" s="1" t="s">
        <v>11</v>
      </c>
      <c r="E606" s="7">
        <v>2</v>
      </c>
      <c r="F606" s="12">
        <v>190</v>
      </c>
      <c r="G606" s="7">
        <v>0</v>
      </c>
      <c r="H606" s="10">
        <v>380</v>
      </c>
      <c r="I606" s="3">
        <v>45137</v>
      </c>
      <c r="J606" s="3" t="s">
        <v>2439</v>
      </c>
      <c r="K606" s="8">
        <v>4</v>
      </c>
    </row>
    <row r="607" spans="1:11" x14ac:dyDescent="0.25">
      <c r="A607" s="2" t="s">
        <v>1232</v>
      </c>
      <c r="B607" s="5" t="s">
        <v>1233</v>
      </c>
      <c r="C607" s="2" t="s">
        <v>32</v>
      </c>
      <c r="D607" s="1" t="s">
        <v>11</v>
      </c>
      <c r="E607" s="7">
        <v>4</v>
      </c>
      <c r="F607" s="12">
        <v>135</v>
      </c>
      <c r="G607" s="7">
        <v>10</v>
      </c>
      <c r="H607" s="10">
        <v>530</v>
      </c>
      <c r="I607" s="3">
        <v>45137</v>
      </c>
      <c r="J607" s="3" t="s">
        <v>2441</v>
      </c>
      <c r="K607" s="8">
        <v>3</v>
      </c>
    </row>
    <row r="608" spans="1:11" x14ac:dyDescent="0.25">
      <c r="A608" s="2" t="s">
        <v>1234</v>
      </c>
      <c r="B608" s="5" t="s">
        <v>1235</v>
      </c>
      <c r="C608" s="2" t="s">
        <v>70</v>
      </c>
      <c r="D608" s="1" t="s">
        <v>11</v>
      </c>
      <c r="E608" s="7">
        <v>1</v>
      </c>
      <c r="F608" s="12">
        <v>125</v>
      </c>
      <c r="G608" s="7">
        <v>5</v>
      </c>
      <c r="H608" s="10">
        <v>120</v>
      </c>
      <c r="I608" s="3">
        <v>45137</v>
      </c>
      <c r="J608" s="3" t="s">
        <v>2443</v>
      </c>
      <c r="K608" s="8">
        <v>3</v>
      </c>
    </row>
    <row r="609" spans="1:11" x14ac:dyDescent="0.25">
      <c r="A609" s="2" t="s">
        <v>1236</v>
      </c>
      <c r="B609" s="5" t="s">
        <v>1237</v>
      </c>
      <c r="C609" s="2" t="s">
        <v>19</v>
      </c>
      <c r="D609" s="1" t="s">
        <v>11</v>
      </c>
      <c r="E609" s="7">
        <v>1</v>
      </c>
      <c r="F609" s="12">
        <v>130</v>
      </c>
      <c r="G609" s="7">
        <v>5</v>
      </c>
      <c r="H609" s="10">
        <v>125</v>
      </c>
      <c r="I609" s="3">
        <v>45137</v>
      </c>
      <c r="J609" s="3" t="s">
        <v>2437</v>
      </c>
      <c r="K609" s="8">
        <v>1</v>
      </c>
    </row>
    <row r="610" spans="1:11" x14ac:dyDescent="0.25">
      <c r="A610" s="2" t="s">
        <v>1238</v>
      </c>
      <c r="B610" s="5" t="s">
        <v>1239</v>
      </c>
      <c r="C610" s="2" t="s">
        <v>47</v>
      </c>
      <c r="D610" s="1" t="s">
        <v>11</v>
      </c>
      <c r="E610" s="7">
        <v>2</v>
      </c>
      <c r="F610" s="12">
        <v>190</v>
      </c>
      <c r="G610" s="7">
        <v>0</v>
      </c>
      <c r="H610" s="10">
        <v>380</v>
      </c>
      <c r="I610" s="3">
        <v>45137</v>
      </c>
      <c r="J610" s="3" t="s">
        <v>2439</v>
      </c>
      <c r="K610" s="8">
        <v>1</v>
      </c>
    </row>
    <row r="611" spans="1:11" x14ac:dyDescent="0.25">
      <c r="A611" s="2" t="s">
        <v>1240</v>
      </c>
      <c r="B611" s="5" t="s">
        <v>1241</v>
      </c>
      <c r="C611" s="2" t="s">
        <v>32</v>
      </c>
      <c r="D611" s="1" t="s">
        <v>11</v>
      </c>
      <c r="E611" s="7">
        <v>4</v>
      </c>
      <c r="F611" s="12">
        <v>135</v>
      </c>
      <c r="G611" s="7">
        <v>10</v>
      </c>
      <c r="H611" s="10">
        <v>530</v>
      </c>
      <c r="I611" s="3">
        <v>45137</v>
      </c>
      <c r="J611" s="3" t="s">
        <v>2441</v>
      </c>
      <c r="K611" s="8">
        <v>4</v>
      </c>
    </row>
    <row r="612" spans="1:11" x14ac:dyDescent="0.25">
      <c r="A612" s="2" t="s">
        <v>1242</v>
      </c>
      <c r="B612" s="5" t="s">
        <v>1243</v>
      </c>
      <c r="C612" s="2" t="s">
        <v>70</v>
      </c>
      <c r="D612" s="1" t="s">
        <v>11</v>
      </c>
      <c r="E612" s="7">
        <v>1</v>
      </c>
      <c r="F612" s="12">
        <v>125</v>
      </c>
      <c r="G612" s="7">
        <v>5</v>
      </c>
      <c r="H612" s="10">
        <v>120</v>
      </c>
      <c r="I612" s="3">
        <v>45137</v>
      </c>
      <c r="J612" s="3" t="s">
        <v>2443</v>
      </c>
      <c r="K612" s="8">
        <v>2</v>
      </c>
    </row>
    <row r="613" spans="1:11" x14ac:dyDescent="0.25">
      <c r="A613" s="2" t="s">
        <v>1244</v>
      </c>
      <c r="B613" s="5" t="s">
        <v>1245</v>
      </c>
      <c r="C613" s="2" t="s">
        <v>32</v>
      </c>
      <c r="D613" s="1" t="s">
        <v>11</v>
      </c>
      <c r="E613" s="7">
        <v>4</v>
      </c>
      <c r="F613" s="12">
        <v>135</v>
      </c>
      <c r="G613" s="7">
        <v>10</v>
      </c>
      <c r="H613" s="10">
        <v>530</v>
      </c>
      <c r="I613" s="3">
        <v>45137</v>
      </c>
      <c r="J613" s="3" t="s">
        <v>2441</v>
      </c>
      <c r="K613" s="8">
        <v>1</v>
      </c>
    </row>
    <row r="614" spans="1:11" x14ac:dyDescent="0.25">
      <c r="A614" s="2" t="s">
        <v>1246</v>
      </c>
      <c r="B614" s="5" t="s">
        <v>1247</v>
      </c>
      <c r="C614" s="2" t="s">
        <v>70</v>
      </c>
      <c r="D614" s="1" t="s">
        <v>11</v>
      </c>
      <c r="E614" s="7">
        <v>1</v>
      </c>
      <c r="F614" s="12">
        <v>125</v>
      </c>
      <c r="G614" s="7">
        <v>5</v>
      </c>
      <c r="H614" s="10">
        <v>120</v>
      </c>
      <c r="I614" s="3">
        <v>45137</v>
      </c>
      <c r="J614" s="3" t="s">
        <v>2443</v>
      </c>
      <c r="K614" s="8">
        <v>1</v>
      </c>
    </row>
    <row r="615" spans="1:11" x14ac:dyDescent="0.25">
      <c r="A615" s="2" t="s">
        <v>1248</v>
      </c>
      <c r="B615" s="5" t="s">
        <v>1249</v>
      </c>
      <c r="C615" s="2" t="s">
        <v>19</v>
      </c>
      <c r="D615" s="1" t="s">
        <v>11</v>
      </c>
      <c r="E615" s="7">
        <v>1</v>
      </c>
      <c r="F615" s="12">
        <v>130</v>
      </c>
      <c r="G615" s="7">
        <v>0</v>
      </c>
      <c r="H615" s="10">
        <v>130</v>
      </c>
      <c r="I615" s="3">
        <v>45138</v>
      </c>
      <c r="J615" s="3" t="s">
        <v>2441</v>
      </c>
      <c r="K615" s="8">
        <v>3</v>
      </c>
    </row>
    <row r="616" spans="1:11" x14ac:dyDescent="0.25">
      <c r="A616" s="2" t="s">
        <v>1250</v>
      </c>
      <c r="B616" s="5" t="s">
        <v>1251</v>
      </c>
      <c r="C616" s="2" t="s">
        <v>19</v>
      </c>
      <c r="D616" s="1" t="s">
        <v>11</v>
      </c>
      <c r="E616" s="7">
        <v>1</v>
      </c>
      <c r="F616" s="12">
        <v>130</v>
      </c>
      <c r="G616" s="7">
        <v>0</v>
      </c>
      <c r="H616" s="10">
        <v>130</v>
      </c>
      <c r="I616" s="3">
        <v>45138</v>
      </c>
      <c r="J616" s="3" t="s">
        <v>2441</v>
      </c>
      <c r="K616" s="8">
        <v>1</v>
      </c>
    </row>
    <row r="617" spans="1:11" x14ac:dyDescent="0.25">
      <c r="A617" s="2" t="s">
        <v>1252</v>
      </c>
      <c r="B617" s="5" t="s">
        <v>1253</v>
      </c>
      <c r="C617" s="2" t="s">
        <v>32</v>
      </c>
      <c r="D617" s="1" t="s">
        <v>11</v>
      </c>
      <c r="E617" s="7">
        <v>1</v>
      </c>
      <c r="F617" s="12">
        <v>135</v>
      </c>
      <c r="G617" s="7">
        <v>0</v>
      </c>
      <c r="H617" s="10">
        <v>135</v>
      </c>
      <c r="I617" s="3">
        <v>44934</v>
      </c>
      <c r="J617" s="3" t="s">
        <v>2445</v>
      </c>
      <c r="K617" s="8">
        <v>3</v>
      </c>
    </row>
    <row r="618" spans="1:11" x14ac:dyDescent="0.25">
      <c r="A618" s="2" t="s">
        <v>1254</v>
      </c>
      <c r="B618" s="5" t="s">
        <v>1255</v>
      </c>
      <c r="C618" s="2" t="s">
        <v>47</v>
      </c>
      <c r="D618" s="1" t="s">
        <v>11</v>
      </c>
      <c r="E618" s="7">
        <v>1</v>
      </c>
      <c r="F618" s="12">
        <v>190</v>
      </c>
      <c r="G618" s="7">
        <v>0</v>
      </c>
      <c r="H618" s="10">
        <v>190</v>
      </c>
      <c r="I618" s="3">
        <v>44934</v>
      </c>
      <c r="J618" s="3" t="s">
        <v>2446</v>
      </c>
      <c r="K618" s="8">
        <v>2</v>
      </c>
    </row>
    <row r="619" spans="1:11" x14ac:dyDescent="0.25">
      <c r="A619" s="2" t="s">
        <v>1256</v>
      </c>
      <c r="B619" s="5" t="s">
        <v>1257</v>
      </c>
      <c r="C619" s="2" t="s">
        <v>19</v>
      </c>
      <c r="D619" s="1" t="s">
        <v>11</v>
      </c>
      <c r="E619" s="7">
        <v>1</v>
      </c>
      <c r="F619" s="12">
        <v>130</v>
      </c>
      <c r="G619" s="7">
        <v>0</v>
      </c>
      <c r="H619" s="10">
        <v>130</v>
      </c>
      <c r="I619" s="3">
        <v>44934</v>
      </c>
      <c r="J619" s="3" t="s">
        <v>2445</v>
      </c>
      <c r="K619" s="8">
        <v>1</v>
      </c>
    </row>
    <row r="620" spans="1:11" x14ac:dyDescent="0.25">
      <c r="A620" s="2" t="s">
        <v>1258</v>
      </c>
      <c r="B620" s="5" t="s">
        <v>1259</v>
      </c>
      <c r="C620" s="2" t="s">
        <v>19</v>
      </c>
      <c r="D620" s="1" t="s">
        <v>11</v>
      </c>
      <c r="E620" s="7">
        <v>1</v>
      </c>
      <c r="F620" s="12">
        <v>130</v>
      </c>
      <c r="G620" s="7">
        <v>0</v>
      </c>
      <c r="H620" s="10">
        <v>130</v>
      </c>
      <c r="I620" s="3">
        <v>44934</v>
      </c>
      <c r="J620" s="3" t="s">
        <v>2441</v>
      </c>
      <c r="K620" s="8">
        <v>1</v>
      </c>
    </row>
    <row r="621" spans="1:11" x14ac:dyDescent="0.25">
      <c r="A621" s="2" t="s">
        <v>1260</v>
      </c>
      <c r="B621" s="5" t="s">
        <v>1261</v>
      </c>
      <c r="C621" s="2" t="s">
        <v>19</v>
      </c>
      <c r="D621" s="1" t="s">
        <v>11</v>
      </c>
      <c r="E621" s="7">
        <v>1</v>
      </c>
      <c r="F621" s="12">
        <v>130</v>
      </c>
      <c r="G621" s="7">
        <v>0</v>
      </c>
      <c r="H621" s="10">
        <v>130</v>
      </c>
      <c r="I621" s="3">
        <v>44934</v>
      </c>
      <c r="J621" s="3" t="s">
        <v>2441</v>
      </c>
      <c r="K621" s="8">
        <v>1</v>
      </c>
    </row>
    <row r="622" spans="1:11" x14ac:dyDescent="0.25">
      <c r="A622" s="2" t="s">
        <v>1262</v>
      </c>
      <c r="B622" s="5" t="s">
        <v>1263</v>
      </c>
      <c r="C622" s="2" t="s">
        <v>32</v>
      </c>
      <c r="D622" s="1" t="s">
        <v>11</v>
      </c>
      <c r="E622" s="7">
        <v>1</v>
      </c>
      <c r="F622" s="12">
        <v>135</v>
      </c>
      <c r="G622" s="7">
        <v>0</v>
      </c>
      <c r="H622" s="10">
        <v>135</v>
      </c>
      <c r="I622" s="3">
        <v>44934</v>
      </c>
      <c r="J622" s="3" t="s">
        <v>2445</v>
      </c>
      <c r="K622" s="8">
        <v>3</v>
      </c>
    </row>
    <row r="623" spans="1:11" x14ac:dyDescent="0.25">
      <c r="A623" s="2" t="s">
        <v>1264</v>
      </c>
      <c r="B623" s="5" t="s">
        <v>1265</v>
      </c>
      <c r="C623" s="2" t="s">
        <v>47</v>
      </c>
      <c r="D623" s="1" t="s">
        <v>11</v>
      </c>
      <c r="E623" s="7">
        <v>1</v>
      </c>
      <c r="F623" s="12">
        <v>190</v>
      </c>
      <c r="G623" s="7">
        <v>0</v>
      </c>
      <c r="H623" s="10">
        <v>190</v>
      </c>
      <c r="I623" s="3">
        <v>44934</v>
      </c>
      <c r="J623" s="3" t="s">
        <v>2446</v>
      </c>
      <c r="K623" s="8">
        <v>1</v>
      </c>
    </row>
    <row r="624" spans="1:11" x14ac:dyDescent="0.25">
      <c r="A624" s="2" t="s">
        <v>1266</v>
      </c>
      <c r="B624" s="5" t="s">
        <v>1267</v>
      </c>
      <c r="C624" s="2" t="s">
        <v>19</v>
      </c>
      <c r="D624" s="1" t="s">
        <v>11</v>
      </c>
      <c r="E624" s="7">
        <v>1</v>
      </c>
      <c r="F624" s="12">
        <v>130</v>
      </c>
      <c r="G624" s="7">
        <v>0</v>
      </c>
      <c r="H624" s="10">
        <v>130</v>
      </c>
      <c r="I624" s="3">
        <v>44934</v>
      </c>
      <c r="J624" s="3" t="s">
        <v>2445</v>
      </c>
      <c r="K624" s="8">
        <v>3</v>
      </c>
    </row>
    <row r="625" spans="1:11" x14ac:dyDescent="0.25">
      <c r="A625" s="2" t="s">
        <v>1268</v>
      </c>
      <c r="B625" s="5" t="s">
        <v>1269</v>
      </c>
      <c r="C625" s="2" t="s">
        <v>19</v>
      </c>
      <c r="D625" s="1" t="s">
        <v>11</v>
      </c>
      <c r="E625" s="7">
        <v>1</v>
      </c>
      <c r="F625" s="12">
        <v>130</v>
      </c>
      <c r="G625" s="7">
        <v>0</v>
      </c>
      <c r="H625" s="10">
        <v>130</v>
      </c>
      <c r="I625" s="3">
        <v>44934</v>
      </c>
      <c r="J625" s="3" t="s">
        <v>2441</v>
      </c>
      <c r="K625" s="8">
        <v>2</v>
      </c>
    </row>
    <row r="626" spans="1:11" x14ac:dyDescent="0.25">
      <c r="A626" s="2" t="s">
        <v>1270</v>
      </c>
      <c r="B626" s="5" t="s">
        <v>1271</v>
      </c>
      <c r="C626" s="2" t="s">
        <v>19</v>
      </c>
      <c r="D626" s="1" t="s">
        <v>11</v>
      </c>
      <c r="E626" s="7">
        <v>1</v>
      </c>
      <c r="F626" s="12">
        <v>130</v>
      </c>
      <c r="G626" s="7">
        <v>0</v>
      </c>
      <c r="H626" s="10">
        <v>130</v>
      </c>
      <c r="I626" s="3">
        <v>44934</v>
      </c>
      <c r="J626" s="3" t="s">
        <v>2441</v>
      </c>
      <c r="K626" s="8">
        <v>1</v>
      </c>
    </row>
    <row r="627" spans="1:11" x14ac:dyDescent="0.25">
      <c r="A627" s="2" t="s">
        <v>1272</v>
      </c>
      <c r="B627" s="5" t="s">
        <v>1273</v>
      </c>
      <c r="C627" s="2" t="s">
        <v>19</v>
      </c>
      <c r="D627" s="1" t="s">
        <v>11</v>
      </c>
      <c r="E627" s="7">
        <v>1</v>
      </c>
      <c r="F627" s="12">
        <v>130</v>
      </c>
      <c r="G627" s="7">
        <v>0</v>
      </c>
      <c r="H627" s="10">
        <v>130</v>
      </c>
      <c r="I627" s="3">
        <v>44934</v>
      </c>
      <c r="J627" s="3" t="s">
        <v>2441</v>
      </c>
      <c r="K627" s="8">
        <v>2</v>
      </c>
    </row>
    <row r="628" spans="1:11" x14ac:dyDescent="0.25">
      <c r="A628" s="2" t="s">
        <v>1274</v>
      </c>
      <c r="B628" s="5" t="s">
        <v>1275</v>
      </c>
      <c r="C628" s="2" t="s">
        <v>19</v>
      </c>
      <c r="D628" s="1" t="s">
        <v>11</v>
      </c>
      <c r="E628" s="7">
        <v>1</v>
      </c>
      <c r="F628" s="12">
        <v>130</v>
      </c>
      <c r="G628" s="7">
        <v>0</v>
      </c>
      <c r="H628" s="10">
        <v>130</v>
      </c>
      <c r="I628" s="3">
        <v>44934</v>
      </c>
      <c r="J628" s="3" t="s">
        <v>2441</v>
      </c>
      <c r="K628" s="8">
        <v>4</v>
      </c>
    </row>
    <row r="629" spans="1:11" x14ac:dyDescent="0.25">
      <c r="A629" s="2" t="s">
        <v>1276</v>
      </c>
      <c r="B629" s="5" t="s">
        <v>1277</v>
      </c>
      <c r="C629" s="2" t="s">
        <v>19</v>
      </c>
      <c r="D629" s="1" t="s">
        <v>11</v>
      </c>
      <c r="E629" s="7">
        <v>1</v>
      </c>
      <c r="F629" s="12">
        <v>130</v>
      </c>
      <c r="G629" s="7">
        <v>0</v>
      </c>
      <c r="H629" s="10">
        <v>130</v>
      </c>
      <c r="I629" s="3">
        <v>44965</v>
      </c>
      <c r="J629" s="3" t="s">
        <v>2445</v>
      </c>
      <c r="K629" s="8">
        <v>4</v>
      </c>
    </row>
    <row r="630" spans="1:11" x14ac:dyDescent="0.25">
      <c r="A630" s="2" t="s">
        <v>1278</v>
      </c>
      <c r="B630" s="5" t="s">
        <v>1279</v>
      </c>
      <c r="C630" s="2" t="s">
        <v>19</v>
      </c>
      <c r="D630" s="1" t="s">
        <v>11</v>
      </c>
      <c r="E630" s="7">
        <v>1</v>
      </c>
      <c r="F630" s="12">
        <v>130</v>
      </c>
      <c r="G630" s="7">
        <v>0</v>
      </c>
      <c r="H630" s="10">
        <v>130</v>
      </c>
      <c r="I630" s="3">
        <v>44965</v>
      </c>
      <c r="J630" s="3" t="s">
        <v>2445</v>
      </c>
      <c r="K630" s="8">
        <v>3</v>
      </c>
    </row>
    <row r="631" spans="1:11" x14ac:dyDescent="0.25">
      <c r="A631" s="2" t="s">
        <v>1280</v>
      </c>
      <c r="B631" s="5" t="s">
        <v>1281</v>
      </c>
      <c r="C631" s="2" t="s">
        <v>70</v>
      </c>
      <c r="D631" s="1" t="s">
        <v>11</v>
      </c>
      <c r="E631" s="7">
        <v>1</v>
      </c>
      <c r="F631" s="12">
        <v>125</v>
      </c>
      <c r="G631" s="7">
        <v>10</v>
      </c>
      <c r="H631" s="10">
        <v>115</v>
      </c>
      <c r="I631" s="3">
        <v>44993</v>
      </c>
      <c r="J631" s="3" t="s">
        <v>2446</v>
      </c>
      <c r="K631" s="8">
        <v>2</v>
      </c>
    </row>
    <row r="632" spans="1:11" x14ac:dyDescent="0.25">
      <c r="A632" s="2" t="s">
        <v>1282</v>
      </c>
      <c r="B632" s="5" t="s">
        <v>1283</v>
      </c>
      <c r="C632" s="2" t="s">
        <v>70</v>
      </c>
      <c r="D632" s="1" t="s">
        <v>11</v>
      </c>
      <c r="E632" s="7">
        <v>1</v>
      </c>
      <c r="F632" s="12">
        <v>125</v>
      </c>
      <c r="G632" s="7">
        <v>10</v>
      </c>
      <c r="H632" s="10">
        <v>115</v>
      </c>
      <c r="I632" s="3">
        <v>44993</v>
      </c>
      <c r="J632" s="3" t="s">
        <v>2446</v>
      </c>
      <c r="K632" s="8">
        <v>3</v>
      </c>
    </row>
    <row r="633" spans="1:11" x14ac:dyDescent="0.25">
      <c r="A633" s="2" t="s">
        <v>1284</v>
      </c>
      <c r="B633" s="5" t="s">
        <v>1285</v>
      </c>
      <c r="C633" s="2" t="s">
        <v>70</v>
      </c>
      <c r="D633" s="1" t="s">
        <v>11</v>
      </c>
      <c r="E633" s="7">
        <v>1</v>
      </c>
      <c r="F633" s="12">
        <v>125</v>
      </c>
      <c r="G633" s="7">
        <v>10</v>
      </c>
      <c r="H633" s="10">
        <v>115</v>
      </c>
      <c r="I633" s="3">
        <v>44993</v>
      </c>
      <c r="J633" s="3" t="s">
        <v>2446</v>
      </c>
      <c r="K633" s="8">
        <v>3</v>
      </c>
    </row>
    <row r="634" spans="1:11" x14ac:dyDescent="0.25">
      <c r="A634" s="2" t="s">
        <v>1286</v>
      </c>
      <c r="B634" s="5" t="s">
        <v>1287</v>
      </c>
      <c r="C634" s="2" t="s">
        <v>70</v>
      </c>
      <c r="D634" s="1" t="s">
        <v>11</v>
      </c>
      <c r="E634" s="7">
        <v>1</v>
      </c>
      <c r="F634" s="12">
        <v>125</v>
      </c>
      <c r="G634" s="7">
        <v>5</v>
      </c>
      <c r="H634" s="10">
        <v>120</v>
      </c>
      <c r="I634" s="3">
        <v>45085</v>
      </c>
      <c r="J634" s="3" t="s">
        <v>2447</v>
      </c>
      <c r="K634" s="8">
        <v>3</v>
      </c>
    </row>
    <row r="635" spans="1:11" x14ac:dyDescent="0.25">
      <c r="A635" s="2" t="s">
        <v>1288</v>
      </c>
      <c r="B635" s="5" t="s">
        <v>1289</v>
      </c>
      <c r="C635" s="2" t="s">
        <v>70</v>
      </c>
      <c r="D635" s="1" t="s">
        <v>11</v>
      </c>
      <c r="E635" s="7">
        <v>1</v>
      </c>
      <c r="F635" s="12">
        <v>125</v>
      </c>
      <c r="G635" s="7">
        <v>5</v>
      </c>
      <c r="H635" s="10">
        <v>120</v>
      </c>
      <c r="I635" s="3">
        <v>45085</v>
      </c>
      <c r="J635" s="3" t="s">
        <v>2447</v>
      </c>
      <c r="K635" s="8">
        <v>3</v>
      </c>
    </row>
    <row r="636" spans="1:11" x14ac:dyDescent="0.25">
      <c r="A636" s="2" t="s">
        <v>1290</v>
      </c>
      <c r="B636" s="5" t="s">
        <v>1291</v>
      </c>
      <c r="C636" s="2" t="s">
        <v>47</v>
      </c>
      <c r="D636" s="1" t="s">
        <v>11</v>
      </c>
      <c r="E636" s="7">
        <v>1</v>
      </c>
      <c r="F636" s="12">
        <v>190</v>
      </c>
      <c r="G636" s="7">
        <v>10</v>
      </c>
      <c r="H636" s="10">
        <v>180</v>
      </c>
      <c r="I636" s="3">
        <v>45115</v>
      </c>
      <c r="J636" s="3" t="s">
        <v>2448</v>
      </c>
      <c r="K636" s="8">
        <v>1</v>
      </c>
    </row>
    <row r="637" spans="1:11" x14ac:dyDescent="0.25">
      <c r="A637" s="2" t="s">
        <v>1292</v>
      </c>
      <c r="B637" s="5" t="s">
        <v>1293</v>
      </c>
      <c r="C637" s="2" t="s">
        <v>19</v>
      </c>
      <c r="D637" s="1" t="s">
        <v>11</v>
      </c>
      <c r="E637" s="7">
        <v>1</v>
      </c>
      <c r="F637" s="12">
        <v>130</v>
      </c>
      <c r="G637" s="7">
        <v>0</v>
      </c>
      <c r="H637" s="10">
        <v>130</v>
      </c>
      <c r="I637" s="3">
        <v>45115</v>
      </c>
      <c r="J637" s="3" t="s">
        <v>2449</v>
      </c>
      <c r="K637" s="8">
        <v>3</v>
      </c>
    </row>
    <row r="638" spans="1:11" x14ac:dyDescent="0.25">
      <c r="A638" s="2" t="s">
        <v>1294</v>
      </c>
      <c r="B638" s="5" t="s">
        <v>1295</v>
      </c>
      <c r="C638" s="2" t="s">
        <v>19</v>
      </c>
      <c r="D638" s="1" t="s">
        <v>11</v>
      </c>
      <c r="E638" s="7">
        <v>1</v>
      </c>
      <c r="F638" s="12">
        <v>130</v>
      </c>
      <c r="G638" s="7">
        <v>5</v>
      </c>
      <c r="H638" s="10">
        <v>125</v>
      </c>
      <c r="I638" s="3">
        <v>45115</v>
      </c>
      <c r="J638" s="3" t="s">
        <v>2450</v>
      </c>
      <c r="K638" s="8">
        <v>2</v>
      </c>
    </row>
    <row r="639" spans="1:11" x14ac:dyDescent="0.25">
      <c r="A639" s="2" t="s">
        <v>1296</v>
      </c>
      <c r="B639" s="5" t="s">
        <v>1297</v>
      </c>
      <c r="C639" s="2" t="s">
        <v>47</v>
      </c>
      <c r="D639" s="1" t="s">
        <v>11</v>
      </c>
      <c r="E639" s="7">
        <v>1</v>
      </c>
      <c r="F639" s="12">
        <v>190</v>
      </c>
      <c r="G639" s="7">
        <v>10</v>
      </c>
      <c r="H639" s="10">
        <v>180</v>
      </c>
      <c r="I639" s="3">
        <v>45115</v>
      </c>
      <c r="J639" s="3" t="s">
        <v>2448</v>
      </c>
      <c r="K639" s="8">
        <v>1</v>
      </c>
    </row>
    <row r="640" spans="1:11" x14ac:dyDescent="0.25">
      <c r="A640" s="2" t="s">
        <v>1298</v>
      </c>
      <c r="B640" s="5" t="s">
        <v>1299</v>
      </c>
      <c r="C640" s="2" t="s">
        <v>19</v>
      </c>
      <c r="D640" s="1" t="s">
        <v>11</v>
      </c>
      <c r="E640" s="7">
        <v>1</v>
      </c>
      <c r="F640" s="12">
        <v>130</v>
      </c>
      <c r="G640" s="7">
        <v>0</v>
      </c>
      <c r="H640" s="10">
        <v>130</v>
      </c>
      <c r="I640" s="3">
        <v>45115</v>
      </c>
      <c r="J640" s="3" t="s">
        <v>2449</v>
      </c>
      <c r="K640" s="8">
        <v>3</v>
      </c>
    </row>
    <row r="641" spans="1:11" x14ac:dyDescent="0.25">
      <c r="A641" s="2" t="s">
        <v>1300</v>
      </c>
      <c r="B641" s="5" t="s">
        <v>1301</v>
      </c>
      <c r="C641" s="2" t="s">
        <v>19</v>
      </c>
      <c r="D641" s="1" t="s">
        <v>11</v>
      </c>
      <c r="E641" s="7">
        <v>1</v>
      </c>
      <c r="F641" s="12">
        <v>130</v>
      </c>
      <c r="G641" s="7">
        <v>5</v>
      </c>
      <c r="H641" s="10">
        <v>125</v>
      </c>
      <c r="I641" s="3">
        <v>45115</v>
      </c>
      <c r="J641" s="3" t="s">
        <v>2450</v>
      </c>
      <c r="K641" s="8">
        <v>1</v>
      </c>
    </row>
    <row r="642" spans="1:11" x14ac:dyDescent="0.25">
      <c r="A642" s="2" t="s">
        <v>1302</v>
      </c>
      <c r="B642" s="5" t="s">
        <v>1303</v>
      </c>
      <c r="C642" s="2" t="s">
        <v>19</v>
      </c>
      <c r="D642" s="1" t="s">
        <v>11</v>
      </c>
      <c r="E642" s="7">
        <v>1</v>
      </c>
      <c r="F642" s="12">
        <v>130</v>
      </c>
      <c r="G642" s="7">
        <v>10</v>
      </c>
      <c r="H642" s="10">
        <v>120</v>
      </c>
      <c r="I642" s="3">
        <v>45146</v>
      </c>
      <c r="J642" s="3" t="s">
        <v>2448</v>
      </c>
      <c r="K642" s="8">
        <v>4</v>
      </c>
    </row>
    <row r="643" spans="1:11" x14ac:dyDescent="0.25">
      <c r="A643" s="2" t="s">
        <v>1304</v>
      </c>
      <c r="B643" s="5" t="s">
        <v>1305</v>
      </c>
      <c r="C643" s="2" t="s">
        <v>93</v>
      </c>
      <c r="D643" s="1" t="s">
        <v>11</v>
      </c>
      <c r="E643" s="7">
        <v>2</v>
      </c>
      <c r="F643" s="12">
        <v>85</v>
      </c>
      <c r="G643" s="7">
        <v>0</v>
      </c>
      <c r="H643" s="10">
        <v>170</v>
      </c>
      <c r="I643" s="3">
        <v>45146</v>
      </c>
      <c r="J643" s="3" t="s">
        <v>2449</v>
      </c>
      <c r="K643" s="8">
        <v>3</v>
      </c>
    </row>
    <row r="644" spans="1:11" x14ac:dyDescent="0.25">
      <c r="A644" s="2" t="s">
        <v>1306</v>
      </c>
      <c r="B644" s="5" t="s">
        <v>1307</v>
      </c>
      <c r="C644" s="2" t="s">
        <v>19</v>
      </c>
      <c r="D644" s="1" t="s">
        <v>11</v>
      </c>
      <c r="E644" s="7">
        <v>1</v>
      </c>
      <c r="F644" s="12">
        <v>130</v>
      </c>
      <c r="G644" s="7">
        <v>10</v>
      </c>
      <c r="H644" s="10">
        <v>120</v>
      </c>
      <c r="I644" s="3">
        <v>45146</v>
      </c>
      <c r="J644" s="3" t="s">
        <v>2448</v>
      </c>
      <c r="K644" s="8">
        <v>3</v>
      </c>
    </row>
    <row r="645" spans="1:11" x14ac:dyDescent="0.25">
      <c r="A645" s="2" t="s">
        <v>1308</v>
      </c>
      <c r="B645" s="5" t="s">
        <v>1309</v>
      </c>
      <c r="C645" s="2" t="s">
        <v>93</v>
      </c>
      <c r="D645" s="1" t="s">
        <v>11</v>
      </c>
      <c r="E645" s="7">
        <v>2</v>
      </c>
      <c r="F645" s="12">
        <v>85</v>
      </c>
      <c r="G645" s="7">
        <v>0</v>
      </c>
      <c r="H645" s="10">
        <v>170</v>
      </c>
      <c r="I645" s="3">
        <v>45146</v>
      </c>
      <c r="J645" s="3" t="s">
        <v>2449</v>
      </c>
      <c r="K645" s="8">
        <v>2</v>
      </c>
    </row>
    <row r="646" spans="1:11" x14ac:dyDescent="0.25">
      <c r="A646" s="2" t="s">
        <v>1310</v>
      </c>
      <c r="B646" s="5" t="s">
        <v>1311</v>
      </c>
      <c r="C646" s="2" t="s">
        <v>93</v>
      </c>
      <c r="D646" s="1" t="s">
        <v>11</v>
      </c>
      <c r="E646" s="7">
        <v>2</v>
      </c>
      <c r="F646" s="12">
        <v>85</v>
      </c>
      <c r="G646" s="7">
        <v>0</v>
      </c>
      <c r="H646" s="10">
        <v>170</v>
      </c>
      <c r="I646" s="3">
        <v>45146</v>
      </c>
      <c r="J646" s="3" t="s">
        <v>2449</v>
      </c>
      <c r="K646" s="8">
        <v>1</v>
      </c>
    </row>
    <row r="647" spans="1:11" x14ac:dyDescent="0.25">
      <c r="A647" s="2" t="s">
        <v>1312</v>
      </c>
      <c r="B647" s="5" t="s">
        <v>1313</v>
      </c>
      <c r="C647" s="2" t="s">
        <v>19</v>
      </c>
      <c r="D647" s="1" t="s">
        <v>11</v>
      </c>
      <c r="E647" s="7">
        <v>1</v>
      </c>
      <c r="F647" s="12">
        <v>130</v>
      </c>
      <c r="G647" s="7">
        <v>0</v>
      </c>
      <c r="H647" s="10">
        <v>130</v>
      </c>
      <c r="I647" s="3">
        <v>45177</v>
      </c>
      <c r="J647" s="3" t="s">
        <v>2448</v>
      </c>
      <c r="K647" s="8">
        <v>3</v>
      </c>
    </row>
    <row r="648" spans="1:11" x14ac:dyDescent="0.25">
      <c r="A648" s="2" t="s">
        <v>1314</v>
      </c>
      <c r="B648" s="5" t="s">
        <v>1315</v>
      </c>
      <c r="C648" s="2" t="s">
        <v>19</v>
      </c>
      <c r="D648" s="1" t="s">
        <v>11</v>
      </c>
      <c r="E648" s="7">
        <v>1</v>
      </c>
      <c r="F648" s="12">
        <v>130</v>
      </c>
      <c r="G648" s="7">
        <v>0</v>
      </c>
      <c r="H648" s="10">
        <v>130</v>
      </c>
      <c r="I648" s="3">
        <v>45177</v>
      </c>
      <c r="J648" s="3" t="s">
        <v>2448</v>
      </c>
      <c r="K648" s="8">
        <v>4</v>
      </c>
    </row>
    <row r="649" spans="1:11" x14ac:dyDescent="0.25">
      <c r="A649" s="2" t="s">
        <v>1316</v>
      </c>
      <c r="B649" s="5" t="s">
        <v>1317</v>
      </c>
      <c r="C649" s="2" t="s">
        <v>93</v>
      </c>
      <c r="D649" s="1" t="s">
        <v>11</v>
      </c>
      <c r="E649" s="7">
        <v>1</v>
      </c>
      <c r="F649" s="12">
        <v>85</v>
      </c>
      <c r="G649" s="7">
        <v>10</v>
      </c>
      <c r="H649" s="10">
        <v>75</v>
      </c>
      <c r="I649" s="3">
        <v>45207</v>
      </c>
      <c r="J649" s="3" t="s">
        <v>2451</v>
      </c>
      <c r="K649" s="8">
        <v>3</v>
      </c>
    </row>
    <row r="650" spans="1:11" x14ac:dyDescent="0.25">
      <c r="A650" s="2" t="s">
        <v>1318</v>
      </c>
      <c r="B650" s="5" t="s">
        <v>1319</v>
      </c>
      <c r="C650" s="2" t="s">
        <v>93</v>
      </c>
      <c r="D650" s="1" t="s">
        <v>11</v>
      </c>
      <c r="E650" s="7">
        <v>1</v>
      </c>
      <c r="F650" s="12">
        <v>85</v>
      </c>
      <c r="G650" s="7">
        <v>10</v>
      </c>
      <c r="H650" s="10">
        <v>75</v>
      </c>
      <c r="I650" s="3">
        <v>45207</v>
      </c>
      <c r="J650" s="3" t="s">
        <v>2451</v>
      </c>
      <c r="K650" s="8">
        <v>4</v>
      </c>
    </row>
    <row r="651" spans="1:11" x14ac:dyDescent="0.25">
      <c r="A651" s="2" t="s">
        <v>1320</v>
      </c>
      <c r="B651" s="5" t="s">
        <v>1321</v>
      </c>
      <c r="C651" s="2" t="s">
        <v>93</v>
      </c>
      <c r="D651" s="1" t="s">
        <v>11</v>
      </c>
      <c r="E651" s="7">
        <v>1</v>
      </c>
      <c r="F651" s="12">
        <v>85</v>
      </c>
      <c r="G651" s="7">
        <v>10</v>
      </c>
      <c r="H651" s="10">
        <v>75</v>
      </c>
      <c r="I651" s="3">
        <v>45207</v>
      </c>
      <c r="J651" s="3" t="s">
        <v>2451</v>
      </c>
      <c r="K651" s="8">
        <v>3</v>
      </c>
    </row>
    <row r="652" spans="1:11" x14ac:dyDescent="0.25">
      <c r="A652" s="2" t="s">
        <v>1322</v>
      </c>
      <c r="B652" s="5" t="s">
        <v>1323</v>
      </c>
      <c r="C652" s="2" t="s">
        <v>47</v>
      </c>
      <c r="D652" s="1" t="s">
        <v>11</v>
      </c>
      <c r="E652" s="7">
        <v>1</v>
      </c>
      <c r="F652" s="12">
        <v>190</v>
      </c>
      <c r="G652" s="7">
        <v>5</v>
      </c>
      <c r="H652" s="10">
        <v>185</v>
      </c>
      <c r="I652" s="3">
        <v>45238</v>
      </c>
      <c r="J652" s="3" t="s">
        <v>2452</v>
      </c>
      <c r="K652" s="8">
        <v>3</v>
      </c>
    </row>
    <row r="653" spans="1:11" x14ac:dyDescent="0.25">
      <c r="A653" s="2" t="s">
        <v>1324</v>
      </c>
      <c r="B653" s="5" t="s">
        <v>1325</v>
      </c>
      <c r="C653" s="2" t="s">
        <v>19</v>
      </c>
      <c r="D653" s="1" t="s">
        <v>11</v>
      </c>
      <c r="E653" s="7">
        <v>1</v>
      </c>
      <c r="F653" s="12">
        <v>130</v>
      </c>
      <c r="G653" s="7">
        <v>5</v>
      </c>
      <c r="H653" s="10">
        <v>125</v>
      </c>
      <c r="I653" s="3">
        <v>45238</v>
      </c>
      <c r="J653" s="3" t="s">
        <v>2453</v>
      </c>
      <c r="K653" s="8">
        <v>1</v>
      </c>
    </row>
    <row r="654" spans="1:11" x14ac:dyDescent="0.25">
      <c r="A654" s="2" t="s">
        <v>1326</v>
      </c>
      <c r="B654" s="5" t="s">
        <v>1327</v>
      </c>
      <c r="C654" s="2" t="s">
        <v>47</v>
      </c>
      <c r="D654" s="1" t="s">
        <v>11</v>
      </c>
      <c r="E654" s="7">
        <v>1</v>
      </c>
      <c r="F654" s="12">
        <v>190</v>
      </c>
      <c r="G654" s="7">
        <v>5</v>
      </c>
      <c r="H654" s="10">
        <v>185</v>
      </c>
      <c r="I654" s="3">
        <v>45238</v>
      </c>
      <c r="J654" s="3" t="s">
        <v>2452</v>
      </c>
      <c r="K654" s="8">
        <v>1</v>
      </c>
    </row>
    <row r="655" spans="1:11" x14ac:dyDescent="0.25">
      <c r="A655" s="2" t="s">
        <v>1328</v>
      </c>
      <c r="B655" s="5" t="s">
        <v>1329</v>
      </c>
      <c r="C655" s="2" t="s">
        <v>19</v>
      </c>
      <c r="D655" s="1" t="s">
        <v>11</v>
      </c>
      <c r="E655" s="7">
        <v>1</v>
      </c>
      <c r="F655" s="12">
        <v>130</v>
      </c>
      <c r="G655" s="7">
        <v>5</v>
      </c>
      <c r="H655" s="10">
        <v>125</v>
      </c>
      <c r="I655" s="3">
        <v>45238</v>
      </c>
      <c r="J655" s="3" t="s">
        <v>2453</v>
      </c>
      <c r="K655" s="8">
        <v>1</v>
      </c>
    </row>
    <row r="656" spans="1:11" x14ac:dyDescent="0.25">
      <c r="A656" s="2" t="s">
        <v>1330</v>
      </c>
      <c r="B656" s="5" t="s">
        <v>1331</v>
      </c>
      <c r="C656" s="2" t="s">
        <v>19</v>
      </c>
      <c r="D656" s="1" t="s">
        <v>11</v>
      </c>
      <c r="E656" s="7">
        <v>1</v>
      </c>
      <c r="F656" s="12">
        <v>130</v>
      </c>
      <c r="G656" s="7">
        <v>5</v>
      </c>
      <c r="H656" s="10">
        <v>125</v>
      </c>
      <c r="I656" s="3">
        <v>45238</v>
      </c>
      <c r="J656" s="3" t="s">
        <v>2453</v>
      </c>
      <c r="K656" s="8">
        <v>1</v>
      </c>
    </row>
    <row r="657" spans="1:11" x14ac:dyDescent="0.25">
      <c r="A657" s="2" t="s">
        <v>1332</v>
      </c>
      <c r="B657" s="5" t="s">
        <v>1333</v>
      </c>
      <c r="C657" s="2" t="s">
        <v>317</v>
      </c>
      <c r="D657" s="1" t="s">
        <v>137</v>
      </c>
      <c r="E657" s="7">
        <v>1</v>
      </c>
      <c r="F657" s="12">
        <v>215</v>
      </c>
      <c r="G657" s="7">
        <v>5</v>
      </c>
      <c r="H657" s="10">
        <v>210</v>
      </c>
      <c r="I657" s="3">
        <v>45268</v>
      </c>
      <c r="J657" s="3" t="s">
        <v>2454</v>
      </c>
      <c r="K657" s="8">
        <v>4</v>
      </c>
    </row>
    <row r="658" spans="1:11" x14ac:dyDescent="0.25">
      <c r="A658" s="2" t="s">
        <v>1334</v>
      </c>
      <c r="B658" s="5" t="s">
        <v>1335</v>
      </c>
      <c r="C658" s="2" t="s">
        <v>32</v>
      </c>
      <c r="D658" s="1" t="s">
        <v>11</v>
      </c>
      <c r="E658" s="7">
        <v>2</v>
      </c>
      <c r="F658" s="12">
        <v>135</v>
      </c>
      <c r="G658" s="7">
        <v>0</v>
      </c>
      <c r="H658" s="10">
        <v>270</v>
      </c>
      <c r="I658" s="3">
        <v>45268</v>
      </c>
      <c r="J658" s="3" t="s">
        <v>2455</v>
      </c>
      <c r="K658" s="8">
        <v>2</v>
      </c>
    </row>
    <row r="659" spans="1:11" x14ac:dyDescent="0.25">
      <c r="A659" s="2" t="s">
        <v>1336</v>
      </c>
      <c r="B659" s="5" t="s">
        <v>1337</v>
      </c>
      <c r="C659" s="2" t="s">
        <v>70</v>
      </c>
      <c r="D659" s="1" t="s">
        <v>11</v>
      </c>
      <c r="E659" s="7">
        <v>1</v>
      </c>
      <c r="F659" s="12">
        <v>125</v>
      </c>
      <c r="G659" s="7">
        <v>0</v>
      </c>
      <c r="H659" s="10">
        <v>125</v>
      </c>
      <c r="I659" s="3">
        <v>45268</v>
      </c>
      <c r="J659" s="3" t="s">
        <v>2456</v>
      </c>
      <c r="K659" s="8">
        <v>1</v>
      </c>
    </row>
    <row r="660" spans="1:11" x14ac:dyDescent="0.25">
      <c r="A660" s="2" t="s">
        <v>1338</v>
      </c>
      <c r="B660" s="5" t="s">
        <v>1339</v>
      </c>
      <c r="C660" s="2" t="s">
        <v>317</v>
      </c>
      <c r="D660" s="1" t="s">
        <v>137</v>
      </c>
      <c r="E660" s="7">
        <v>1</v>
      </c>
      <c r="F660" s="12">
        <v>215</v>
      </c>
      <c r="G660" s="7">
        <v>5</v>
      </c>
      <c r="H660" s="10">
        <v>210</v>
      </c>
      <c r="I660" s="3">
        <v>45268</v>
      </c>
      <c r="J660" s="3" t="s">
        <v>2454</v>
      </c>
      <c r="K660" s="8">
        <v>2</v>
      </c>
    </row>
    <row r="661" spans="1:11" x14ac:dyDescent="0.25">
      <c r="A661" s="2" t="s">
        <v>1340</v>
      </c>
      <c r="B661" s="5" t="s">
        <v>1341</v>
      </c>
      <c r="C661" s="2" t="s">
        <v>32</v>
      </c>
      <c r="D661" s="1" t="s">
        <v>11</v>
      </c>
      <c r="E661" s="7">
        <v>2</v>
      </c>
      <c r="F661" s="12">
        <v>135</v>
      </c>
      <c r="G661" s="7">
        <v>0</v>
      </c>
      <c r="H661" s="10">
        <v>270</v>
      </c>
      <c r="I661" s="3">
        <v>45268</v>
      </c>
      <c r="J661" s="3" t="s">
        <v>2455</v>
      </c>
      <c r="K661" s="8">
        <v>4</v>
      </c>
    </row>
    <row r="662" spans="1:11" x14ac:dyDescent="0.25">
      <c r="A662" s="2" t="s">
        <v>1342</v>
      </c>
      <c r="B662" s="5" t="s">
        <v>1343</v>
      </c>
      <c r="C662" s="2" t="s">
        <v>70</v>
      </c>
      <c r="D662" s="1" t="s">
        <v>11</v>
      </c>
      <c r="E662" s="7">
        <v>1</v>
      </c>
      <c r="F662" s="12">
        <v>125</v>
      </c>
      <c r="G662" s="7">
        <v>0</v>
      </c>
      <c r="H662" s="10">
        <v>125</v>
      </c>
      <c r="I662" s="3">
        <v>45268</v>
      </c>
      <c r="J662" s="3" t="s">
        <v>2456</v>
      </c>
      <c r="K662" s="8">
        <v>1</v>
      </c>
    </row>
    <row r="663" spans="1:11" x14ac:dyDescent="0.25">
      <c r="A663" s="2" t="s">
        <v>1344</v>
      </c>
      <c r="B663" s="5" t="s">
        <v>1345</v>
      </c>
      <c r="C663" s="2" t="s">
        <v>19</v>
      </c>
      <c r="D663" s="1" t="s">
        <v>11</v>
      </c>
      <c r="E663" s="7">
        <v>1</v>
      </c>
      <c r="F663" s="12">
        <v>130</v>
      </c>
      <c r="G663" s="7">
        <v>10</v>
      </c>
      <c r="H663" s="10">
        <v>120</v>
      </c>
      <c r="I663" s="3">
        <v>45151</v>
      </c>
      <c r="J663" s="3" t="s">
        <v>2452</v>
      </c>
      <c r="K663" s="8">
        <v>2</v>
      </c>
    </row>
    <row r="664" spans="1:11" x14ac:dyDescent="0.25">
      <c r="A664" s="2" t="s">
        <v>1346</v>
      </c>
      <c r="B664" s="5" t="s">
        <v>1347</v>
      </c>
      <c r="C664" s="2" t="s">
        <v>19</v>
      </c>
      <c r="D664" s="1" t="s">
        <v>11</v>
      </c>
      <c r="E664" s="7">
        <v>1</v>
      </c>
      <c r="F664" s="12">
        <v>130</v>
      </c>
      <c r="G664" s="7">
        <v>10</v>
      </c>
      <c r="H664" s="10">
        <v>120</v>
      </c>
      <c r="I664" s="3">
        <v>45151</v>
      </c>
      <c r="J664" s="3" t="s">
        <v>2452</v>
      </c>
      <c r="K664" s="8">
        <v>1</v>
      </c>
    </row>
    <row r="665" spans="1:11" x14ac:dyDescent="0.25">
      <c r="A665" s="2" t="s">
        <v>1348</v>
      </c>
      <c r="B665" s="5" t="s">
        <v>1349</v>
      </c>
      <c r="C665" s="2" t="s">
        <v>19</v>
      </c>
      <c r="D665" s="1" t="s">
        <v>11</v>
      </c>
      <c r="E665" s="7">
        <v>1</v>
      </c>
      <c r="F665" s="12">
        <v>130</v>
      </c>
      <c r="G665" s="7">
        <v>10</v>
      </c>
      <c r="H665" s="10">
        <v>120</v>
      </c>
      <c r="I665" s="3">
        <v>45151</v>
      </c>
      <c r="J665" s="3" t="s">
        <v>2452</v>
      </c>
      <c r="K665" s="8">
        <v>2</v>
      </c>
    </row>
    <row r="666" spans="1:11" x14ac:dyDescent="0.25">
      <c r="A666" s="2" t="s">
        <v>1350</v>
      </c>
      <c r="B666" s="5" t="s">
        <v>1351</v>
      </c>
      <c r="C666" s="2" t="s">
        <v>47</v>
      </c>
      <c r="D666" s="1" t="s">
        <v>11</v>
      </c>
      <c r="E666" s="7">
        <v>1</v>
      </c>
      <c r="F666" s="12">
        <v>190</v>
      </c>
      <c r="G666" s="7">
        <v>10</v>
      </c>
      <c r="H666" s="10">
        <v>180</v>
      </c>
      <c r="I666" s="3">
        <v>45153</v>
      </c>
      <c r="J666" s="3" t="s">
        <v>2459</v>
      </c>
      <c r="K666" s="8">
        <v>2</v>
      </c>
    </row>
    <row r="667" spans="1:11" x14ac:dyDescent="0.25">
      <c r="A667" s="2" t="s">
        <v>1352</v>
      </c>
      <c r="B667" s="5" t="s">
        <v>1353</v>
      </c>
      <c r="C667" s="2" t="s">
        <v>47</v>
      </c>
      <c r="D667" s="1" t="s">
        <v>11</v>
      </c>
      <c r="E667" s="7">
        <v>1</v>
      </c>
      <c r="F667" s="12">
        <v>190</v>
      </c>
      <c r="G667" s="7">
        <v>10</v>
      </c>
      <c r="H667" s="10">
        <v>180</v>
      </c>
      <c r="I667" s="3">
        <v>45153</v>
      </c>
      <c r="J667" s="3" t="s">
        <v>2459</v>
      </c>
      <c r="K667" s="8">
        <v>3</v>
      </c>
    </row>
    <row r="668" spans="1:11" x14ac:dyDescent="0.25">
      <c r="A668" s="2" t="s">
        <v>1354</v>
      </c>
      <c r="B668" s="5" t="s">
        <v>1355</v>
      </c>
      <c r="C668" s="2" t="s">
        <v>93</v>
      </c>
      <c r="D668" s="1" t="s">
        <v>11</v>
      </c>
      <c r="E668" s="7">
        <v>2</v>
      </c>
      <c r="F668" s="12">
        <v>85</v>
      </c>
      <c r="G668" s="7">
        <v>0</v>
      </c>
      <c r="H668" s="10">
        <v>170</v>
      </c>
      <c r="I668" s="3">
        <v>45155</v>
      </c>
      <c r="J668" s="3" t="s">
        <v>2461</v>
      </c>
      <c r="K668" s="8">
        <v>3</v>
      </c>
    </row>
    <row r="669" spans="1:11" x14ac:dyDescent="0.25">
      <c r="A669" s="2" t="s">
        <v>1356</v>
      </c>
      <c r="B669" s="5" t="s">
        <v>1357</v>
      </c>
      <c r="C669" s="2" t="s">
        <v>136</v>
      </c>
      <c r="D669" s="1" t="s">
        <v>137</v>
      </c>
      <c r="E669" s="7">
        <v>3</v>
      </c>
      <c r="F669" s="12">
        <v>220</v>
      </c>
      <c r="G669" s="7">
        <v>0</v>
      </c>
      <c r="H669" s="10">
        <v>660</v>
      </c>
      <c r="I669" s="3">
        <v>45155</v>
      </c>
      <c r="J669" s="3" t="s">
        <v>2454</v>
      </c>
      <c r="K669" s="8">
        <v>1</v>
      </c>
    </row>
    <row r="670" spans="1:11" x14ac:dyDescent="0.25">
      <c r="A670" s="2" t="s">
        <v>1358</v>
      </c>
      <c r="B670" s="5" t="s">
        <v>1359</v>
      </c>
      <c r="C670" s="2" t="s">
        <v>93</v>
      </c>
      <c r="D670" s="1" t="s">
        <v>11</v>
      </c>
      <c r="E670" s="7">
        <v>2</v>
      </c>
      <c r="F670" s="12">
        <v>85</v>
      </c>
      <c r="G670" s="7">
        <v>0</v>
      </c>
      <c r="H670" s="10">
        <v>170</v>
      </c>
      <c r="I670" s="3">
        <v>45155</v>
      </c>
      <c r="J670" s="3" t="s">
        <v>2461</v>
      </c>
      <c r="K670" s="8">
        <v>2</v>
      </c>
    </row>
    <row r="671" spans="1:11" x14ac:dyDescent="0.25">
      <c r="A671" s="2" t="s">
        <v>1360</v>
      </c>
      <c r="B671" s="5" t="s">
        <v>1361</v>
      </c>
      <c r="C671" s="2" t="s">
        <v>136</v>
      </c>
      <c r="D671" s="1" t="s">
        <v>137</v>
      </c>
      <c r="E671" s="7">
        <v>3</v>
      </c>
      <c r="F671" s="12">
        <v>220</v>
      </c>
      <c r="G671" s="7">
        <v>0</v>
      </c>
      <c r="H671" s="10">
        <v>660</v>
      </c>
      <c r="I671" s="3">
        <v>45155</v>
      </c>
      <c r="J671" s="3" t="s">
        <v>2454</v>
      </c>
      <c r="K671" s="8">
        <v>2</v>
      </c>
    </row>
    <row r="672" spans="1:11" x14ac:dyDescent="0.25">
      <c r="A672" s="2" t="s">
        <v>1362</v>
      </c>
      <c r="B672" s="5" t="s">
        <v>1363</v>
      </c>
      <c r="C672" s="2" t="s">
        <v>136</v>
      </c>
      <c r="D672" s="1" t="s">
        <v>137</v>
      </c>
      <c r="E672" s="7">
        <v>3</v>
      </c>
      <c r="F672" s="12">
        <v>220</v>
      </c>
      <c r="G672" s="7">
        <v>0</v>
      </c>
      <c r="H672" s="10">
        <v>660</v>
      </c>
      <c r="I672" s="3">
        <v>45155</v>
      </c>
      <c r="J672" s="3" t="s">
        <v>2454</v>
      </c>
      <c r="K672" s="8">
        <v>4</v>
      </c>
    </row>
    <row r="673" spans="1:11" x14ac:dyDescent="0.25">
      <c r="A673" s="2" t="s">
        <v>1364</v>
      </c>
      <c r="B673" s="5" t="s">
        <v>1365</v>
      </c>
      <c r="C673" s="2" t="s">
        <v>19</v>
      </c>
      <c r="D673" s="1" t="s">
        <v>11</v>
      </c>
      <c r="E673" s="7">
        <v>1</v>
      </c>
      <c r="F673" s="12">
        <v>130</v>
      </c>
      <c r="G673" s="7">
        <v>0</v>
      </c>
      <c r="H673" s="10">
        <v>130</v>
      </c>
      <c r="I673" s="3">
        <v>45156</v>
      </c>
      <c r="J673" s="3" t="s">
        <v>2461</v>
      </c>
      <c r="K673" s="8">
        <v>3</v>
      </c>
    </row>
    <row r="674" spans="1:11" x14ac:dyDescent="0.25">
      <c r="A674" s="2" t="s">
        <v>1366</v>
      </c>
      <c r="B674" s="5" t="s">
        <v>1367</v>
      </c>
      <c r="C674" s="2" t="s">
        <v>19</v>
      </c>
      <c r="D674" s="1" t="s">
        <v>11</v>
      </c>
      <c r="E674" s="7">
        <v>1</v>
      </c>
      <c r="F674" s="12">
        <v>130</v>
      </c>
      <c r="G674" s="7">
        <v>0</v>
      </c>
      <c r="H674" s="10">
        <v>130</v>
      </c>
      <c r="I674" s="3">
        <v>45156</v>
      </c>
      <c r="J674" s="3" t="s">
        <v>2461</v>
      </c>
      <c r="K674" s="8">
        <v>3</v>
      </c>
    </row>
    <row r="675" spans="1:11" x14ac:dyDescent="0.25">
      <c r="A675" s="2" t="s">
        <v>1368</v>
      </c>
      <c r="B675" s="5" t="s">
        <v>1369</v>
      </c>
      <c r="C675" s="2" t="s">
        <v>19</v>
      </c>
      <c r="D675" s="1" t="s">
        <v>11</v>
      </c>
      <c r="E675" s="7">
        <v>1</v>
      </c>
      <c r="F675" s="12">
        <v>130</v>
      </c>
      <c r="G675" s="7">
        <v>0</v>
      </c>
      <c r="H675" s="10">
        <v>130</v>
      </c>
      <c r="I675" s="3">
        <v>45156</v>
      </c>
      <c r="J675" s="3" t="s">
        <v>2461</v>
      </c>
      <c r="K675" s="8">
        <v>1</v>
      </c>
    </row>
    <row r="676" spans="1:11" x14ac:dyDescent="0.25">
      <c r="A676" s="2" t="s">
        <v>1370</v>
      </c>
      <c r="B676" s="5" t="s">
        <v>1371</v>
      </c>
      <c r="C676" s="2" t="s">
        <v>19</v>
      </c>
      <c r="D676" s="1" t="s">
        <v>11</v>
      </c>
      <c r="E676" s="7">
        <v>1</v>
      </c>
      <c r="F676" s="12">
        <v>130</v>
      </c>
      <c r="G676" s="7">
        <v>10</v>
      </c>
      <c r="H676" s="10">
        <v>120</v>
      </c>
      <c r="I676" s="3">
        <v>45157</v>
      </c>
      <c r="J676" s="3" t="s">
        <v>2461</v>
      </c>
      <c r="K676" s="8">
        <v>3</v>
      </c>
    </row>
    <row r="677" spans="1:11" x14ac:dyDescent="0.25">
      <c r="A677" s="2" t="s">
        <v>1372</v>
      </c>
      <c r="B677" s="5" t="s">
        <v>1373</v>
      </c>
      <c r="C677" s="2" t="s">
        <v>19</v>
      </c>
      <c r="D677" s="1" t="s">
        <v>11</v>
      </c>
      <c r="E677" s="7">
        <v>1</v>
      </c>
      <c r="F677" s="12">
        <v>130</v>
      </c>
      <c r="G677" s="7">
        <v>10</v>
      </c>
      <c r="H677" s="10">
        <v>120</v>
      </c>
      <c r="I677" s="3">
        <v>45157</v>
      </c>
      <c r="J677" s="3" t="s">
        <v>2461</v>
      </c>
      <c r="K677" s="8">
        <v>4</v>
      </c>
    </row>
    <row r="678" spans="1:11" x14ac:dyDescent="0.25">
      <c r="A678" s="2" t="s">
        <v>1374</v>
      </c>
      <c r="B678" s="5" t="s">
        <v>1375</v>
      </c>
      <c r="C678" s="2" t="s">
        <v>19</v>
      </c>
      <c r="D678" s="1" t="s">
        <v>11</v>
      </c>
      <c r="E678" s="7">
        <v>2</v>
      </c>
      <c r="F678" s="12">
        <v>130</v>
      </c>
      <c r="G678" s="7">
        <v>0</v>
      </c>
      <c r="H678" s="10">
        <v>260</v>
      </c>
      <c r="I678" s="3">
        <v>45158</v>
      </c>
      <c r="J678" s="3" t="s">
        <v>2465</v>
      </c>
      <c r="K678" s="8">
        <v>2</v>
      </c>
    </row>
    <row r="679" spans="1:11" x14ac:dyDescent="0.25">
      <c r="A679" s="2" t="s">
        <v>1376</v>
      </c>
      <c r="B679" s="5" t="s">
        <v>1377</v>
      </c>
      <c r="C679" s="2" t="s">
        <v>19</v>
      </c>
      <c r="D679" s="1" t="s">
        <v>11</v>
      </c>
      <c r="E679" s="7">
        <v>2</v>
      </c>
      <c r="F679" s="12">
        <v>130</v>
      </c>
      <c r="G679" s="7">
        <v>0</v>
      </c>
      <c r="H679" s="10">
        <v>260</v>
      </c>
      <c r="I679" s="3">
        <v>45158</v>
      </c>
      <c r="J679" s="3" t="s">
        <v>2465</v>
      </c>
      <c r="K679" s="8">
        <v>3</v>
      </c>
    </row>
    <row r="680" spans="1:11" x14ac:dyDescent="0.25">
      <c r="A680" s="2" t="s">
        <v>1378</v>
      </c>
      <c r="B680" s="5" t="s">
        <v>1379</v>
      </c>
      <c r="C680" s="2" t="s">
        <v>32</v>
      </c>
      <c r="D680" s="1" t="s">
        <v>11</v>
      </c>
      <c r="E680" s="7">
        <v>2</v>
      </c>
      <c r="F680" s="12">
        <v>135</v>
      </c>
      <c r="G680" s="7">
        <v>0</v>
      </c>
      <c r="H680" s="10">
        <v>270</v>
      </c>
      <c r="I680" s="3">
        <v>45159</v>
      </c>
      <c r="J680" s="3" t="s">
        <v>2467</v>
      </c>
      <c r="K680" s="8">
        <v>4</v>
      </c>
    </row>
    <row r="681" spans="1:11" x14ac:dyDescent="0.25">
      <c r="A681" s="2" t="s">
        <v>1380</v>
      </c>
      <c r="B681" s="5" t="s">
        <v>1381</v>
      </c>
      <c r="C681" s="2" t="s">
        <v>47</v>
      </c>
      <c r="D681" s="1" t="s">
        <v>11</v>
      </c>
      <c r="E681" s="7">
        <v>4</v>
      </c>
      <c r="F681" s="12">
        <v>190</v>
      </c>
      <c r="G681" s="7">
        <v>10</v>
      </c>
      <c r="H681" s="10">
        <v>750</v>
      </c>
      <c r="I681" s="3">
        <v>45159</v>
      </c>
      <c r="J681" s="3" t="s">
        <v>2467</v>
      </c>
      <c r="K681" s="8">
        <v>2</v>
      </c>
    </row>
    <row r="682" spans="1:11" x14ac:dyDescent="0.25">
      <c r="A682" s="2" t="s">
        <v>1382</v>
      </c>
      <c r="B682" s="5" t="s">
        <v>1383</v>
      </c>
      <c r="C682" s="2" t="s">
        <v>19</v>
      </c>
      <c r="D682" s="1" t="s">
        <v>11</v>
      </c>
      <c r="E682" s="7">
        <v>3</v>
      </c>
      <c r="F682" s="12">
        <v>130</v>
      </c>
      <c r="G682" s="7">
        <v>0</v>
      </c>
      <c r="H682" s="10">
        <v>390</v>
      </c>
      <c r="I682" s="3">
        <v>45159</v>
      </c>
      <c r="J682" s="3" t="s">
        <v>2468</v>
      </c>
      <c r="K682" s="8">
        <v>1</v>
      </c>
    </row>
    <row r="683" spans="1:11" x14ac:dyDescent="0.25">
      <c r="A683" s="2" t="s">
        <v>1384</v>
      </c>
      <c r="B683" s="5" t="s">
        <v>1385</v>
      </c>
      <c r="C683" s="2" t="s">
        <v>32</v>
      </c>
      <c r="D683" s="1" t="s">
        <v>11</v>
      </c>
      <c r="E683" s="7">
        <v>2</v>
      </c>
      <c r="F683" s="12">
        <v>135</v>
      </c>
      <c r="G683" s="7">
        <v>0</v>
      </c>
      <c r="H683" s="10">
        <v>270</v>
      </c>
      <c r="I683" s="3">
        <v>45159</v>
      </c>
      <c r="J683" s="3" t="s">
        <v>2467</v>
      </c>
      <c r="K683" s="8">
        <v>2</v>
      </c>
    </row>
    <row r="684" spans="1:11" x14ac:dyDescent="0.25">
      <c r="A684" s="2" t="s">
        <v>1386</v>
      </c>
      <c r="B684" s="5" t="s">
        <v>1387</v>
      </c>
      <c r="C684" s="2" t="s">
        <v>47</v>
      </c>
      <c r="D684" s="1" t="s">
        <v>11</v>
      </c>
      <c r="E684" s="7">
        <v>4</v>
      </c>
      <c r="F684" s="12">
        <v>190</v>
      </c>
      <c r="G684" s="7">
        <v>10</v>
      </c>
      <c r="H684" s="10">
        <v>750</v>
      </c>
      <c r="I684" s="3">
        <v>45159</v>
      </c>
      <c r="J684" s="3" t="s">
        <v>2467</v>
      </c>
      <c r="K684" s="8">
        <v>4</v>
      </c>
    </row>
    <row r="685" spans="1:11" x14ac:dyDescent="0.25">
      <c r="A685" s="2" t="s">
        <v>1388</v>
      </c>
      <c r="B685" s="5" t="s">
        <v>1389</v>
      </c>
      <c r="C685" s="2" t="s">
        <v>19</v>
      </c>
      <c r="D685" s="1" t="s">
        <v>11</v>
      </c>
      <c r="E685" s="7">
        <v>3</v>
      </c>
      <c r="F685" s="12">
        <v>130</v>
      </c>
      <c r="G685" s="7">
        <v>0</v>
      </c>
      <c r="H685" s="10">
        <v>390</v>
      </c>
      <c r="I685" s="3">
        <v>45159</v>
      </c>
      <c r="J685" s="3" t="s">
        <v>2468</v>
      </c>
      <c r="K685" s="8">
        <v>1</v>
      </c>
    </row>
    <row r="686" spans="1:11" x14ac:dyDescent="0.25">
      <c r="A686" s="2" t="s">
        <v>1390</v>
      </c>
      <c r="B686" s="5" t="s">
        <v>1391</v>
      </c>
      <c r="C686" s="2" t="s">
        <v>47</v>
      </c>
      <c r="D686" s="1" t="s">
        <v>11</v>
      </c>
      <c r="E686" s="7">
        <v>4</v>
      </c>
      <c r="F686" s="12">
        <v>190</v>
      </c>
      <c r="G686" s="7">
        <v>10</v>
      </c>
      <c r="H686" s="10">
        <v>750</v>
      </c>
      <c r="I686" s="3">
        <v>45159</v>
      </c>
      <c r="J686" s="3" t="s">
        <v>2467</v>
      </c>
      <c r="K686" s="8">
        <v>4</v>
      </c>
    </row>
    <row r="687" spans="1:11" x14ac:dyDescent="0.25">
      <c r="A687" s="2" t="s">
        <v>1392</v>
      </c>
      <c r="B687" s="5" t="s">
        <v>1393</v>
      </c>
      <c r="C687" s="2" t="s">
        <v>19</v>
      </c>
      <c r="D687" s="1" t="s">
        <v>11</v>
      </c>
      <c r="E687" s="7">
        <v>3</v>
      </c>
      <c r="F687" s="12">
        <v>130</v>
      </c>
      <c r="G687" s="7">
        <v>0</v>
      </c>
      <c r="H687" s="10">
        <v>390</v>
      </c>
      <c r="I687" s="3">
        <v>45159</v>
      </c>
      <c r="J687" s="3" t="s">
        <v>2468</v>
      </c>
      <c r="K687" s="8">
        <v>3</v>
      </c>
    </row>
    <row r="688" spans="1:11" x14ac:dyDescent="0.25">
      <c r="A688" s="2" t="s">
        <v>1394</v>
      </c>
      <c r="B688" s="5" t="s">
        <v>1395</v>
      </c>
      <c r="C688" s="2" t="s">
        <v>19</v>
      </c>
      <c r="D688" s="1" t="s">
        <v>11</v>
      </c>
      <c r="E688" s="7">
        <v>1</v>
      </c>
      <c r="F688" s="12">
        <v>130</v>
      </c>
      <c r="G688" s="7">
        <v>0</v>
      </c>
      <c r="H688" s="10">
        <v>130</v>
      </c>
      <c r="I688" s="3">
        <v>45161</v>
      </c>
      <c r="J688" s="3" t="s">
        <v>2470</v>
      </c>
      <c r="K688" s="8">
        <v>2</v>
      </c>
    </row>
    <row r="689" spans="1:11" x14ac:dyDescent="0.25">
      <c r="A689" s="2" t="s">
        <v>1396</v>
      </c>
      <c r="B689" s="5" t="s">
        <v>1397</v>
      </c>
      <c r="C689" s="2" t="s">
        <v>19</v>
      </c>
      <c r="D689" s="1" t="s">
        <v>11</v>
      </c>
      <c r="E689" s="7">
        <v>1</v>
      </c>
      <c r="F689" s="12">
        <v>130</v>
      </c>
      <c r="G689" s="7">
        <v>0</v>
      </c>
      <c r="H689" s="10">
        <v>130</v>
      </c>
      <c r="I689" s="3">
        <v>45161</v>
      </c>
      <c r="J689" s="3" t="s">
        <v>2470</v>
      </c>
      <c r="K689" s="8">
        <v>3</v>
      </c>
    </row>
    <row r="690" spans="1:11" x14ac:dyDescent="0.25">
      <c r="A690" s="2" t="s">
        <v>1398</v>
      </c>
      <c r="B690" s="5" t="s">
        <v>1399</v>
      </c>
      <c r="C690" s="2" t="s">
        <v>19</v>
      </c>
      <c r="D690" s="1" t="s">
        <v>11</v>
      </c>
      <c r="E690" s="7">
        <v>4</v>
      </c>
      <c r="F690" s="12">
        <v>130</v>
      </c>
      <c r="G690" s="7">
        <v>0</v>
      </c>
      <c r="H690" s="10">
        <v>520</v>
      </c>
      <c r="I690" s="3">
        <v>45164</v>
      </c>
      <c r="J690" s="3" t="s">
        <v>2472</v>
      </c>
      <c r="K690" s="8">
        <v>4</v>
      </c>
    </row>
    <row r="691" spans="1:11" x14ac:dyDescent="0.25">
      <c r="A691" s="2" t="s">
        <v>1400</v>
      </c>
      <c r="B691" s="5" t="s">
        <v>1401</v>
      </c>
      <c r="C691" s="2" t="s">
        <v>47</v>
      </c>
      <c r="D691" s="1" t="s">
        <v>11</v>
      </c>
      <c r="E691" s="7">
        <v>1</v>
      </c>
      <c r="F691" s="12">
        <v>190</v>
      </c>
      <c r="G691" s="7">
        <v>0</v>
      </c>
      <c r="H691" s="10">
        <v>190</v>
      </c>
      <c r="I691" s="3">
        <v>45164</v>
      </c>
      <c r="J691" s="3" t="s">
        <v>2473</v>
      </c>
      <c r="K691" s="8">
        <v>1</v>
      </c>
    </row>
    <row r="692" spans="1:11" x14ac:dyDescent="0.25">
      <c r="A692" s="2" t="s">
        <v>1402</v>
      </c>
      <c r="B692" s="5" t="s">
        <v>1403</v>
      </c>
      <c r="C692" s="2" t="s">
        <v>32</v>
      </c>
      <c r="D692" s="1" t="s">
        <v>11</v>
      </c>
      <c r="E692" s="7">
        <v>1</v>
      </c>
      <c r="F692" s="12">
        <v>135</v>
      </c>
      <c r="G692" s="7">
        <v>0</v>
      </c>
      <c r="H692" s="10">
        <v>135</v>
      </c>
      <c r="I692" s="3">
        <v>45164</v>
      </c>
      <c r="J692" s="3" t="s">
        <v>2474</v>
      </c>
      <c r="K692" s="8">
        <v>3</v>
      </c>
    </row>
    <row r="693" spans="1:11" x14ac:dyDescent="0.25">
      <c r="A693" s="2" t="s">
        <v>1404</v>
      </c>
      <c r="B693" s="5" t="s">
        <v>1405</v>
      </c>
      <c r="C693" s="2" t="s">
        <v>19</v>
      </c>
      <c r="D693" s="1" t="s">
        <v>11</v>
      </c>
      <c r="E693" s="7">
        <v>4</v>
      </c>
      <c r="F693" s="12">
        <v>130</v>
      </c>
      <c r="G693" s="7">
        <v>0</v>
      </c>
      <c r="H693" s="10">
        <v>520</v>
      </c>
      <c r="I693" s="3">
        <v>45164</v>
      </c>
      <c r="J693" s="3" t="s">
        <v>2472</v>
      </c>
      <c r="K693" s="8">
        <v>1</v>
      </c>
    </row>
    <row r="694" spans="1:11" x14ac:dyDescent="0.25">
      <c r="A694" s="2" t="s">
        <v>1406</v>
      </c>
      <c r="B694" s="5" t="s">
        <v>1407</v>
      </c>
      <c r="C694" s="2" t="s">
        <v>47</v>
      </c>
      <c r="D694" s="1" t="s">
        <v>11</v>
      </c>
      <c r="E694" s="7">
        <v>1</v>
      </c>
      <c r="F694" s="12">
        <v>190</v>
      </c>
      <c r="G694" s="7">
        <v>0</v>
      </c>
      <c r="H694" s="10">
        <v>190</v>
      </c>
      <c r="I694" s="3">
        <v>45164</v>
      </c>
      <c r="J694" s="3" t="s">
        <v>2473</v>
      </c>
      <c r="K694" s="8">
        <v>4</v>
      </c>
    </row>
    <row r="695" spans="1:11" x14ac:dyDescent="0.25">
      <c r="A695" s="2" t="s">
        <v>1408</v>
      </c>
      <c r="B695" s="5" t="s">
        <v>1409</v>
      </c>
      <c r="C695" s="2" t="s">
        <v>32</v>
      </c>
      <c r="D695" s="1" t="s">
        <v>11</v>
      </c>
      <c r="E695" s="7">
        <v>1</v>
      </c>
      <c r="F695" s="12">
        <v>135</v>
      </c>
      <c r="G695" s="7">
        <v>0</v>
      </c>
      <c r="H695" s="10">
        <v>135</v>
      </c>
      <c r="I695" s="3">
        <v>45164</v>
      </c>
      <c r="J695" s="3" t="s">
        <v>2474</v>
      </c>
      <c r="K695" s="8">
        <v>2</v>
      </c>
    </row>
    <row r="696" spans="1:11" x14ac:dyDescent="0.25">
      <c r="A696" s="2" t="s">
        <v>1410</v>
      </c>
      <c r="B696" s="5" t="s">
        <v>1411</v>
      </c>
      <c r="C696" s="2" t="s">
        <v>32</v>
      </c>
      <c r="D696" s="1" t="s">
        <v>11</v>
      </c>
      <c r="E696" s="7">
        <v>1</v>
      </c>
      <c r="F696" s="12">
        <v>135</v>
      </c>
      <c r="G696" s="7">
        <v>0</v>
      </c>
      <c r="H696" s="10">
        <v>135</v>
      </c>
      <c r="I696" s="3">
        <v>45164</v>
      </c>
      <c r="J696" s="3" t="s">
        <v>2474</v>
      </c>
      <c r="K696" s="8">
        <v>3</v>
      </c>
    </row>
    <row r="697" spans="1:11" x14ac:dyDescent="0.25">
      <c r="A697" s="2" t="s">
        <v>1412</v>
      </c>
      <c r="B697" s="5" t="s">
        <v>1413</v>
      </c>
      <c r="C697" s="2" t="s">
        <v>19</v>
      </c>
      <c r="D697" s="1" t="s">
        <v>11</v>
      </c>
      <c r="E697" s="7">
        <v>4</v>
      </c>
      <c r="F697" s="12">
        <v>130</v>
      </c>
      <c r="G697" s="7">
        <v>0</v>
      </c>
      <c r="H697" s="10">
        <v>520</v>
      </c>
      <c r="I697" s="3">
        <v>45165</v>
      </c>
      <c r="J697" s="3" t="s">
        <v>2476</v>
      </c>
      <c r="K697" s="8">
        <v>1</v>
      </c>
    </row>
    <row r="698" spans="1:11" x14ac:dyDescent="0.25">
      <c r="A698" s="2" t="s">
        <v>1414</v>
      </c>
      <c r="B698" s="5" t="s">
        <v>1415</v>
      </c>
      <c r="C698" s="2" t="s">
        <v>19</v>
      </c>
      <c r="D698" s="1" t="s">
        <v>11</v>
      </c>
      <c r="E698" s="7">
        <v>4</v>
      </c>
      <c r="F698" s="12">
        <v>130</v>
      </c>
      <c r="G698" s="7">
        <v>0</v>
      </c>
      <c r="H698" s="10">
        <v>520</v>
      </c>
      <c r="I698" s="3">
        <v>45165</v>
      </c>
      <c r="J698" s="3" t="s">
        <v>2476</v>
      </c>
      <c r="K698" s="8">
        <v>3</v>
      </c>
    </row>
    <row r="699" spans="1:11" x14ac:dyDescent="0.25">
      <c r="A699" s="2" t="s">
        <v>1416</v>
      </c>
      <c r="B699" s="5" t="s">
        <v>1417</v>
      </c>
      <c r="C699" s="2" t="s">
        <v>19</v>
      </c>
      <c r="D699" s="1" t="s">
        <v>11</v>
      </c>
      <c r="E699" s="7">
        <v>1</v>
      </c>
      <c r="F699" s="12">
        <v>130</v>
      </c>
      <c r="G699" s="7">
        <v>0</v>
      </c>
      <c r="H699" s="10">
        <v>130</v>
      </c>
      <c r="I699" s="3">
        <v>45167</v>
      </c>
      <c r="J699" s="3" t="s">
        <v>2478</v>
      </c>
      <c r="K699" s="8">
        <v>2</v>
      </c>
    </row>
    <row r="700" spans="1:11" x14ac:dyDescent="0.25">
      <c r="A700" s="2" t="s">
        <v>1418</v>
      </c>
      <c r="B700" s="5" t="s">
        <v>1419</v>
      </c>
      <c r="C700" s="2" t="s">
        <v>32</v>
      </c>
      <c r="D700" s="1" t="s">
        <v>11</v>
      </c>
      <c r="E700" s="7">
        <v>1</v>
      </c>
      <c r="F700" s="12">
        <v>135</v>
      </c>
      <c r="G700" s="7">
        <v>0</v>
      </c>
      <c r="H700" s="10">
        <v>135</v>
      </c>
      <c r="I700" s="3">
        <v>45167</v>
      </c>
      <c r="J700" s="3" t="s">
        <v>2474</v>
      </c>
      <c r="K700" s="8">
        <v>4</v>
      </c>
    </row>
    <row r="701" spans="1:11" x14ac:dyDescent="0.25">
      <c r="A701" s="2" t="s">
        <v>1420</v>
      </c>
      <c r="B701" s="5" t="s">
        <v>1421</v>
      </c>
      <c r="C701" s="2" t="s">
        <v>19</v>
      </c>
      <c r="D701" s="1" t="s">
        <v>11</v>
      </c>
      <c r="E701" s="7">
        <v>1</v>
      </c>
      <c r="F701" s="12">
        <v>130</v>
      </c>
      <c r="G701" s="7">
        <v>0</v>
      </c>
      <c r="H701" s="10">
        <v>130</v>
      </c>
      <c r="I701" s="3">
        <v>45167</v>
      </c>
      <c r="J701" s="3" t="s">
        <v>2478</v>
      </c>
      <c r="K701" s="8">
        <v>3</v>
      </c>
    </row>
    <row r="702" spans="1:11" x14ac:dyDescent="0.25">
      <c r="A702" s="2" t="s">
        <v>1422</v>
      </c>
      <c r="B702" s="5" t="s">
        <v>1423</v>
      </c>
      <c r="C702" s="2" t="s">
        <v>32</v>
      </c>
      <c r="D702" s="1" t="s">
        <v>11</v>
      </c>
      <c r="E702" s="7">
        <v>1</v>
      </c>
      <c r="F702" s="12">
        <v>135</v>
      </c>
      <c r="G702" s="7">
        <v>0</v>
      </c>
      <c r="H702" s="10">
        <v>135</v>
      </c>
      <c r="I702" s="3">
        <v>45167</v>
      </c>
      <c r="J702" s="3" t="s">
        <v>2474</v>
      </c>
      <c r="K702" s="8">
        <v>1</v>
      </c>
    </row>
    <row r="703" spans="1:11" x14ac:dyDescent="0.25">
      <c r="A703" s="2" t="s">
        <v>1424</v>
      </c>
      <c r="B703" s="5" t="s">
        <v>1425</v>
      </c>
      <c r="C703" s="2" t="s">
        <v>32</v>
      </c>
      <c r="D703" s="1" t="s">
        <v>11</v>
      </c>
      <c r="E703" s="7">
        <v>1</v>
      </c>
      <c r="F703" s="12">
        <v>135</v>
      </c>
      <c r="G703" s="7">
        <v>0</v>
      </c>
      <c r="H703" s="10">
        <v>135</v>
      </c>
      <c r="I703" s="3">
        <v>45167</v>
      </c>
      <c r="J703" s="3" t="s">
        <v>2474</v>
      </c>
      <c r="K703" s="8">
        <v>4</v>
      </c>
    </row>
    <row r="704" spans="1:11" x14ac:dyDescent="0.25">
      <c r="A704" s="2" t="s">
        <v>1426</v>
      </c>
      <c r="B704" s="5" t="s">
        <v>1427</v>
      </c>
      <c r="C704" s="2" t="s">
        <v>47</v>
      </c>
      <c r="D704" s="1" t="s">
        <v>11</v>
      </c>
      <c r="E704" s="7">
        <v>1</v>
      </c>
      <c r="F704" s="12">
        <v>190</v>
      </c>
      <c r="G704" s="7">
        <v>0</v>
      </c>
      <c r="H704" s="10">
        <v>190</v>
      </c>
      <c r="I704" s="3">
        <v>44935</v>
      </c>
      <c r="J704" s="3" t="s">
        <v>2479</v>
      </c>
      <c r="K704" s="8">
        <v>4</v>
      </c>
    </row>
    <row r="705" spans="1:11" x14ac:dyDescent="0.25">
      <c r="A705" s="2" t="s">
        <v>1428</v>
      </c>
      <c r="B705" s="5" t="s">
        <v>1429</v>
      </c>
      <c r="C705" s="2" t="s">
        <v>19</v>
      </c>
      <c r="D705" s="1" t="s">
        <v>11</v>
      </c>
      <c r="E705" s="7">
        <v>1</v>
      </c>
      <c r="F705" s="12">
        <v>130</v>
      </c>
      <c r="G705" s="7">
        <v>0</v>
      </c>
      <c r="H705" s="10">
        <v>130</v>
      </c>
      <c r="I705" s="3">
        <v>44935</v>
      </c>
      <c r="J705" s="3" t="s">
        <v>2480</v>
      </c>
      <c r="K705" s="8">
        <v>3</v>
      </c>
    </row>
    <row r="706" spans="1:11" x14ac:dyDescent="0.25">
      <c r="A706" s="2" t="s">
        <v>1430</v>
      </c>
      <c r="B706" s="5" t="s">
        <v>1431</v>
      </c>
      <c r="C706" s="2" t="s">
        <v>47</v>
      </c>
      <c r="D706" s="1" t="s">
        <v>11</v>
      </c>
      <c r="E706" s="7">
        <v>1</v>
      </c>
      <c r="F706" s="12">
        <v>190</v>
      </c>
      <c r="G706" s="7">
        <v>0</v>
      </c>
      <c r="H706" s="10">
        <v>190</v>
      </c>
      <c r="I706" s="3">
        <v>44935</v>
      </c>
      <c r="J706" s="3" t="s">
        <v>2479</v>
      </c>
      <c r="K706" s="8">
        <v>1</v>
      </c>
    </row>
    <row r="707" spans="1:11" x14ac:dyDescent="0.25">
      <c r="A707" s="2" t="s">
        <v>1432</v>
      </c>
      <c r="B707" s="5" t="s">
        <v>1433</v>
      </c>
      <c r="C707" s="2" t="s">
        <v>19</v>
      </c>
      <c r="D707" s="1" t="s">
        <v>11</v>
      </c>
      <c r="E707" s="7">
        <v>1</v>
      </c>
      <c r="F707" s="12">
        <v>130</v>
      </c>
      <c r="G707" s="7">
        <v>0</v>
      </c>
      <c r="H707" s="10">
        <v>130</v>
      </c>
      <c r="I707" s="3">
        <v>44935</v>
      </c>
      <c r="J707" s="3" t="s">
        <v>2480</v>
      </c>
      <c r="K707" s="8">
        <v>3</v>
      </c>
    </row>
    <row r="708" spans="1:11" x14ac:dyDescent="0.25">
      <c r="A708" s="2" t="s">
        <v>1434</v>
      </c>
      <c r="B708" s="5" t="s">
        <v>1435</v>
      </c>
      <c r="C708" s="2" t="s">
        <v>19</v>
      </c>
      <c r="D708" s="1" t="s">
        <v>11</v>
      </c>
      <c r="E708" s="7">
        <v>1</v>
      </c>
      <c r="F708" s="12">
        <v>130</v>
      </c>
      <c r="G708" s="7">
        <v>0</v>
      </c>
      <c r="H708" s="10">
        <v>130</v>
      </c>
      <c r="I708" s="3">
        <v>44935</v>
      </c>
      <c r="J708" s="3" t="s">
        <v>2480</v>
      </c>
      <c r="K708" s="8">
        <v>3</v>
      </c>
    </row>
    <row r="709" spans="1:11" x14ac:dyDescent="0.25">
      <c r="A709" s="2" t="s">
        <v>1436</v>
      </c>
      <c r="B709" s="5" t="s">
        <v>1437</v>
      </c>
      <c r="C709" s="2" t="s">
        <v>32</v>
      </c>
      <c r="D709" s="1" t="s">
        <v>11</v>
      </c>
      <c r="E709" s="7">
        <v>1</v>
      </c>
      <c r="F709" s="12">
        <v>135</v>
      </c>
      <c r="G709" s="7">
        <v>5</v>
      </c>
      <c r="H709" s="10">
        <v>130</v>
      </c>
      <c r="I709" s="3">
        <v>44966</v>
      </c>
      <c r="J709" s="3" t="s">
        <v>2481</v>
      </c>
      <c r="K709" s="8">
        <v>3</v>
      </c>
    </row>
    <row r="710" spans="1:11" x14ac:dyDescent="0.25">
      <c r="A710" s="2" t="s">
        <v>1438</v>
      </c>
      <c r="B710" s="5" t="s">
        <v>1439</v>
      </c>
      <c r="C710" s="2" t="s">
        <v>32</v>
      </c>
      <c r="D710" s="1" t="s">
        <v>11</v>
      </c>
      <c r="E710" s="7">
        <v>1</v>
      </c>
      <c r="F710" s="12">
        <v>135</v>
      </c>
      <c r="G710" s="7">
        <v>10</v>
      </c>
      <c r="H710" s="10">
        <v>125</v>
      </c>
      <c r="I710" s="3">
        <v>44966</v>
      </c>
      <c r="J710" s="3" t="s">
        <v>2482</v>
      </c>
      <c r="K710" s="8">
        <v>2</v>
      </c>
    </row>
    <row r="711" spans="1:11" x14ac:dyDescent="0.25">
      <c r="A711" s="2" t="s">
        <v>1440</v>
      </c>
      <c r="B711" s="5" t="s">
        <v>1441</v>
      </c>
      <c r="C711" s="2" t="s">
        <v>32</v>
      </c>
      <c r="D711" s="1" t="s">
        <v>11</v>
      </c>
      <c r="E711" s="7">
        <v>1</v>
      </c>
      <c r="F711" s="12">
        <v>135</v>
      </c>
      <c r="G711" s="7">
        <v>5</v>
      </c>
      <c r="H711" s="10">
        <v>130</v>
      </c>
      <c r="I711" s="3">
        <v>44966</v>
      </c>
      <c r="J711" s="3" t="s">
        <v>2481</v>
      </c>
      <c r="K711" s="8">
        <v>1</v>
      </c>
    </row>
    <row r="712" spans="1:11" x14ac:dyDescent="0.25">
      <c r="A712" s="2" t="s">
        <v>1442</v>
      </c>
      <c r="B712" s="5" t="s">
        <v>1443</v>
      </c>
      <c r="C712" s="2" t="s">
        <v>32</v>
      </c>
      <c r="D712" s="1" t="s">
        <v>11</v>
      </c>
      <c r="E712" s="7">
        <v>1</v>
      </c>
      <c r="F712" s="12">
        <v>135</v>
      </c>
      <c r="G712" s="7">
        <v>10</v>
      </c>
      <c r="H712" s="10">
        <v>125</v>
      </c>
      <c r="I712" s="3">
        <v>44966</v>
      </c>
      <c r="J712" s="3" t="s">
        <v>2482</v>
      </c>
      <c r="K712" s="8">
        <v>2</v>
      </c>
    </row>
    <row r="713" spans="1:11" x14ac:dyDescent="0.25">
      <c r="A713" s="2" t="s">
        <v>1444</v>
      </c>
      <c r="B713" s="5" t="s">
        <v>1445</v>
      </c>
      <c r="C713" s="2" t="s">
        <v>19</v>
      </c>
      <c r="D713" s="1" t="s">
        <v>11</v>
      </c>
      <c r="E713" s="7">
        <v>1</v>
      </c>
      <c r="F713" s="12">
        <v>130</v>
      </c>
      <c r="G713" s="7">
        <v>0</v>
      </c>
      <c r="H713" s="10">
        <v>130</v>
      </c>
      <c r="I713" s="3">
        <v>44994</v>
      </c>
      <c r="J713" s="3" t="s">
        <v>2479</v>
      </c>
      <c r="K713" s="8">
        <v>1</v>
      </c>
    </row>
    <row r="714" spans="1:11" x14ac:dyDescent="0.25">
      <c r="A714" s="2" t="s">
        <v>1446</v>
      </c>
      <c r="B714" s="5" t="s">
        <v>1447</v>
      </c>
      <c r="C714" s="2" t="s">
        <v>19</v>
      </c>
      <c r="D714" s="1" t="s">
        <v>11</v>
      </c>
      <c r="E714" s="7">
        <v>1</v>
      </c>
      <c r="F714" s="12">
        <v>130</v>
      </c>
      <c r="G714" s="7">
        <v>0</v>
      </c>
      <c r="H714" s="10">
        <v>130</v>
      </c>
      <c r="I714" s="3">
        <v>44994</v>
      </c>
      <c r="J714" s="3" t="s">
        <v>2479</v>
      </c>
      <c r="K714" s="8">
        <v>4</v>
      </c>
    </row>
    <row r="715" spans="1:11" x14ac:dyDescent="0.25">
      <c r="A715" s="2" t="s">
        <v>1448</v>
      </c>
      <c r="B715" s="5" t="s">
        <v>1449</v>
      </c>
      <c r="C715" s="2" t="s">
        <v>19</v>
      </c>
      <c r="D715" s="1" t="s">
        <v>11</v>
      </c>
      <c r="E715" s="7">
        <v>1</v>
      </c>
      <c r="F715" s="12">
        <v>130</v>
      </c>
      <c r="G715" s="7">
        <v>0</v>
      </c>
      <c r="H715" s="10">
        <v>130</v>
      </c>
      <c r="I715" s="3">
        <v>44994</v>
      </c>
      <c r="J715" s="3" t="s">
        <v>2479</v>
      </c>
      <c r="K715" s="8">
        <v>4</v>
      </c>
    </row>
    <row r="716" spans="1:11" x14ac:dyDescent="0.25">
      <c r="A716" s="2" t="s">
        <v>1450</v>
      </c>
      <c r="B716" s="5" t="s">
        <v>1451</v>
      </c>
      <c r="C716" s="2" t="s">
        <v>19</v>
      </c>
      <c r="D716" s="1" t="s">
        <v>11</v>
      </c>
      <c r="E716" s="7">
        <v>1</v>
      </c>
      <c r="F716" s="12">
        <v>130</v>
      </c>
      <c r="G716" s="7">
        <v>10</v>
      </c>
      <c r="H716" s="10">
        <v>120</v>
      </c>
      <c r="I716" s="3">
        <v>45055</v>
      </c>
      <c r="J716" s="3" t="s">
        <v>2481</v>
      </c>
      <c r="K716" s="8">
        <v>4</v>
      </c>
    </row>
    <row r="717" spans="1:11" x14ac:dyDescent="0.25">
      <c r="A717" s="2" t="s">
        <v>1452</v>
      </c>
      <c r="B717" s="5" t="s">
        <v>1453</v>
      </c>
      <c r="C717" s="2" t="s">
        <v>19</v>
      </c>
      <c r="D717" s="1" t="s">
        <v>11</v>
      </c>
      <c r="E717" s="7">
        <v>1</v>
      </c>
      <c r="F717" s="12">
        <v>130</v>
      </c>
      <c r="G717" s="7">
        <v>0</v>
      </c>
      <c r="H717" s="10">
        <v>130</v>
      </c>
      <c r="I717" s="3">
        <v>45055</v>
      </c>
      <c r="J717" s="3" t="s">
        <v>2483</v>
      </c>
      <c r="K717" s="8">
        <v>4</v>
      </c>
    </row>
    <row r="718" spans="1:11" x14ac:dyDescent="0.25">
      <c r="A718" s="2" t="s">
        <v>1454</v>
      </c>
      <c r="B718" s="5" t="s">
        <v>1455</v>
      </c>
      <c r="C718" s="2" t="s">
        <v>19</v>
      </c>
      <c r="D718" s="1" t="s">
        <v>11</v>
      </c>
      <c r="E718" s="7">
        <v>1</v>
      </c>
      <c r="F718" s="12">
        <v>130</v>
      </c>
      <c r="G718" s="7">
        <v>10</v>
      </c>
      <c r="H718" s="10">
        <v>120</v>
      </c>
      <c r="I718" s="3">
        <v>45055</v>
      </c>
      <c r="J718" s="3" t="s">
        <v>2481</v>
      </c>
      <c r="K718" s="8">
        <v>3</v>
      </c>
    </row>
    <row r="719" spans="1:11" x14ac:dyDescent="0.25">
      <c r="A719" s="2" t="s">
        <v>1456</v>
      </c>
      <c r="B719" s="5" t="s">
        <v>1457</v>
      </c>
      <c r="C719" s="2" t="s">
        <v>19</v>
      </c>
      <c r="D719" s="1" t="s">
        <v>11</v>
      </c>
      <c r="E719" s="7">
        <v>1</v>
      </c>
      <c r="F719" s="12">
        <v>130</v>
      </c>
      <c r="G719" s="7">
        <v>0</v>
      </c>
      <c r="H719" s="10">
        <v>130</v>
      </c>
      <c r="I719" s="3">
        <v>45055</v>
      </c>
      <c r="J719" s="3" t="s">
        <v>2483</v>
      </c>
      <c r="K719" s="8">
        <v>1</v>
      </c>
    </row>
    <row r="720" spans="1:11" x14ac:dyDescent="0.25">
      <c r="A720" s="2" t="s">
        <v>1458</v>
      </c>
      <c r="B720" s="5" t="s">
        <v>1459</v>
      </c>
      <c r="C720" s="2" t="s">
        <v>19</v>
      </c>
      <c r="D720" s="1" t="s">
        <v>11</v>
      </c>
      <c r="E720" s="7">
        <v>1</v>
      </c>
      <c r="F720" s="12">
        <v>130</v>
      </c>
      <c r="G720" s="7">
        <v>5</v>
      </c>
      <c r="H720" s="10">
        <v>125</v>
      </c>
      <c r="I720" s="3">
        <v>45086</v>
      </c>
      <c r="J720" s="3" t="s">
        <v>2480</v>
      </c>
      <c r="K720" s="8">
        <v>2</v>
      </c>
    </row>
    <row r="721" spans="1:11" x14ac:dyDescent="0.25">
      <c r="A721" s="2" t="s">
        <v>1460</v>
      </c>
      <c r="B721" s="5" t="s">
        <v>1461</v>
      </c>
      <c r="C721" s="2" t="s">
        <v>167</v>
      </c>
      <c r="D721" s="1" t="s">
        <v>11</v>
      </c>
      <c r="E721" s="7">
        <v>3</v>
      </c>
      <c r="F721" s="12">
        <v>210</v>
      </c>
      <c r="G721" s="7">
        <v>0</v>
      </c>
      <c r="H721" s="10">
        <v>630</v>
      </c>
      <c r="I721" s="3">
        <v>45086</v>
      </c>
      <c r="J721" s="3" t="s">
        <v>2480</v>
      </c>
      <c r="K721" s="8">
        <v>1</v>
      </c>
    </row>
    <row r="722" spans="1:11" x14ac:dyDescent="0.25">
      <c r="A722" s="2" t="s">
        <v>1462</v>
      </c>
      <c r="B722" s="5" t="s">
        <v>1463</v>
      </c>
      <c r="C722" s="2" t="s">
        <v>19</v>
      </c>
      <c r="D722" s="1" t="s">
        <v>11</v>
      </c>
      <c r="E722" s="7">
        <v>1</v>
      </c>
      <c r="F722" s="12">
        <v>130</v>
      </c>
      <c r="G722" s="7">
        <v>5</v>
      </c>
      <c r="H722" s="10">
        <v>125</v>
      </c>
      <c r="I722" s="3">
        <v>45086</v>
      </c>
      <c r="J722" s="3" t="s">
        <v>2480</v>
      </c>
      <c r="K722" s="8">
        <v>2</v>
      </c>
    </row>
    <row r="723" spans="1:11" x14ac:dyDescent="0.25">
      <c r="A723" s="2" t="s">
        <v>1464</v>
      </c>
      <c r="B723" s="5" t="s">
        <v>1465</v>
      </c>
      <c r="C723" s="2" t="s">
        <v>167</v>
      </c>
      <c r="D723" s="1" t="s">
        <v>11</v>
      </c>
      <c r="E723" s="7">
        <v>3</v>
      </c>
      <c r="F723" s="12">
        <v>210</v>
      </c>
      <c r="G723" s="7">
        <v>0</v>
      </c>
      <c r="H723" s="10">
        <v>630</v>
      </c>
      <c r="I723" s="3">
        <v>45086</v>
      </c>
      <c r="J723" s="3" t="s">
        <v>2480</v>
      </c>
      <c r="K723" s="8">
        <v>3</v>
      </c>
    </row>
    <row r="724" spans="1:11" x14ac:dyDescent="0.25">
      <c r="A724" s="2" t="s">
        <v>1466</v>
      </c>
      <c r="B724" s="5" t="s">
        <v>1467</v>
      </c>
      <c r="C724" s="2" t="s">
        <v>19</v>
      </c>
      <c r="D724" s="1" t="s">
        <v>11</v>
      </c>
      <c r="E724" s="7">
        <v>1</v>
      </c>
      <c r="F724" s="12">
        <v>130</v>
      </c>
      <c r="G724" s="7">
        <v>5</v>
      </c>
      <c r="H724" s="10">
        <v>125</v>
      </c>
      <c r="I724" s="3">
        <v>45086</v>
      </c>
      <c r="J724" s="3" t="s">
        <v>2480</v>
      </c>
      <c r="K724" s="8">
        <v>2</v>
      </c>
    </row>
    <row r="725" spans="1:11" x14ac:dyDescent="0.25">
      <c r="A725" s="2" t="s">
        <v>1468</v>
      </c>
      <c r="B725" s="5" t="s">
        <v>1469</v>
      </c>
      <c r="C725" s="2" t="s">
        <v>232</v>
      </c>
      <c r="D725" s="1" t="s">
        <v>137</v>
      </c>
      <c r="E725" s="7">
        <v>1</v>
      </c>
      <c r="F725" s="12">
        <v>200</v>
      </c>
      <c r="G725" s="7">
        <v>0</v>
      </c>
      <c r="H725" s="10">
        <v>200</v>
      </c>
      <c r="I725" s="3">
        <v>45116</v>
      </c>
      <c r="J725" s="3" t="s">
        <v>2484</v>
      </c>
      <c r="K725" s="8">
        <v>2</v>
      </c>
    </row>
    <row r="726" spans="1:11" x14ac:dyDescent="0.25">
      <c r="A726" s="2" t="s">
        <v>1470</v>
      </c>
      <c r="B726" s="5" t="s">
        <v>1471</v>
      </c>
      <c r="C726" s="2" t="s">
        <v>32</v>
      </c>
      <c r="D726" s="1" t="s">
        <v>11</v>
      </c>
      <c r="E726" s="7">
        <v>2</v>
      </c>
      <c r="F726" s="12">
        <v>135</v>
      </c>
      <c r="G726" s="7">
        <v>0</v>
      </c>
      <c r="H726" s="10">
        <v>270</v>
      </c>
      <c r="I726" s="3">
        <v>45116</v>
      </c>
      <c r="J726" s="3" t="s">
        <v>2485</v>
      </c>
      <c r="K726" s="8">
        <v>4</v>
      </c>
    </row>
    <row r="727" spans="1:11" x14ac:dyDescent="0.25">
      <c r="A727" s="2" t="s">
        <v>1472</v>
      </c>
      <c r="B727" s="5" t="s">
        <v>1473</v>
      </c>
      <c r="C727" s="2" t="s">
        <v>232</v>
      </c>
      <c r="D727" s="1" t="s">
        <v>137</v>
      </c>
      <c r="E727" s="7">
        <v>1</v>
      </c>
      <c r="F727" s="12">
        <v>200</v>
      </c>
      <c r="G727" s="7">
        <v>0</v>
      </c>
      <c r="H727" s="10">
        <v>200</v>
      </c>
      <c r="I727" s="3">
        <v>45116</v>
      </c>
      <c r="J727" s="3" t="s">
        <v>2484</v>
      </c>
      <c r="K727" s="8">
        <v>3</v>
      </c>
    </row>
    <row r="728" spans="1:11" x14ac:dyDescent="0.25">
      <c r="A728" s="2" t="s">
        <v>1474</v>
      </c>
      <c r="B728" s="5" t="s">
        <v>1475</v>
      </c>
      <c r="C728" s="2" t="s">
        <v>32</v>
      </c>
      <c r="D728" s="1" t="s">
        <v>11</v>
      </c>
      <c r="E728" s="7">
        <v>2</v>
      </c>
      <c r="F728" s="12">
        <v>135</v>
      </c>
      <c r="G728" s="7">
        <v>0</v>
      </c>
      <c r="H728" s="10">
        <v>270</v>
      </c>
      <c r="I728" s="3">
        <v>45116</v>
      </c>
      <c r="J728" s="3" t="s">
        <v>2485</v>
      </c>
      <c r="K728" s="8">
        <v>3</v>
      </c>
    </row>
    <row r="729" spans="1:11" x14ac:dyDescent="0.25">
      <c r="A729" s="2" t="s">
        <v>1476</v>
      </c>
      <c r="B729" s="5" t="s">
        <v>1477</v>
      </c>
      <c r="C729" s="2" t="s">
        <v>32</v>
      </c>
      <c r="D729" s="1" t="s">
        <v>11</v>
      </c>
      <c r="E729" s="7">
        <v>2</v>
      </c>
      <c r="F729" s="12">
        <v>135</v>
      </c>
      <c r="G729" s="7">
        <v>0</v>
      </c>
      <c r="H729" s="10">
        <v>270</v>
      </c>
      <c r="I729" s="3">
        <v>45116</v>
      </c>
      <c r="J729" s="3" t="s">
        <v>2485</v>
      </c>
      <c r="K729" s="8">
        <v>3</v>
      </c>
    </row>
    <row r="730" spans="1:11" x14ac:dyDescent="0.25">
      <c r="A730" s="2" t="s">
        <v>1478</v>
      </c>
      <c r="B730" s="5" t="s">
        <v>1479</v>
      </c>
      <c r="C730" s="2" t="s">
        <v>47</v>
      </c>
      <c r="D730" s="1" t="s">
        <v>11</v>
      </c>
      <c r="E730" s="7">
        <v>3</v>
      </c>
      <c r="F730" s="12">
        <v>190</v>
      </c>
      <c r="G730" s="7">
        <v>0</v>
      </c>
      <c r="H730" s="10">
        <v>570</v>
      </c>
      <c r="I730" s="3">
        <v>45147</v>
      </c>
      <c r="J730" s="3" t="s">
        <v>2486</v>
      </c>
      <c r="K730" s="8">
        <v>1</v>
      </c>
    </row>
    <row r="731" spans="1:11" x14ac:dyDescent="0.25">
      <c r="A731" s="2" t="s">
        <v>1480</v>
      </c>
      <c r="B731" s="5" t="s">
        <v>1481</v>
      </c>
      <c r="C731" s="2" t="s">
        <v>32</v>
      </c>
      <c r="D731" s="1" t="s">
        <v>11</v>
      </c>
      <c r="E731" s="7">
        <v>3</v>
      </c>
      <c r="F731" s="12">
        <v>135</v>
      </c>
      <c r="G731" s="7">
        <v>0</v>
      </c>
      <c r="H731" s="10">
        <v>405</v>
      </c>
      <c r="I731" s="3">
        <v>45147</v>
      </c>
      <c r="J731" s="3" t="s">
        <v>2485</v>
      </c>
      <c r="K731" s="8">
        <v>3</v>
      </c>
    </row>
    <row r="732" spans="1:11" x14ac:dyDescent="0.25">
      <c r="A732" s="2" t="s">
        <v>1482</v>
      </c>
      <c r="B732" s="5" t="s">
        <v>1483</v>
      </c>
      <c r="C732" s="2" t="s">
        <v>32</v>
      </c>
      <c r="D732" s="1" t="s">
        <v>11</v>
      </c>
      <c r="E732" s="7">
        <v>1</v>
      </c>
      <c r="F732" s="12">
        <v>135</v>
      </c>
      <c r="G732" s="7">
        <v>0</v>
      </c>
      <c r="H732" s="10">
        <v>135</v>
      </c>
      <c r="I732" s="3">
        <v>45147</v>
      </c>
      <c r="J732" s="3" t="s">
        <v>2485</v>
      </c>
      <c r="K732" s="8">
        <v>2</v>
      </c>
    </row>
    <row r="733" spans="1:11" x14ac:dyDescent="0.25">
      <c r="A733" s="2" t="s">
        <v>1484</v>
      </c>
      <c r="B733" s="5" t="s">
        <v>1485</v>
      </c>
      <c r="C733" s="2" t="s">
        <v>47</v>
      </c>
      <c r="D733" s="1" t="s">
        <v>11</v>
      </c>
      <c r="E733" s="7">
        <v>3</v>
      </c>
      <c r="F733" s="12">
        <v>190</v>
      </c>
      <c r="G733" s="7">
        <v>0</v>
      </c>
      <c r="H733" s="10">
        <v>570</v>
      </c>
      <c r="I733" s="3">
        <v>45147</v>
      </c>
      <c r="J733" s="3" t="s">
        <v>2486</v>
      </c>
      <c r="K733" s="8">
        <v>3</v>
      </c>
    </row>
    <row r="734" spans="1:11" x14ac:dyDescent="0.25">
      <c r="A734" s="2" t="s">
        <v>1486</v>
      </c>
      <c r="B734" s="5" t="s">
        <v>1487</v>
      </c>
      <c r="C734" s="2" t="s">
        <v>32</v>
      </c>
      <c r="D734" s="1" t="s">
        <v>11</v>
      </c>
      <c r="E734" s="7">
        <v>3</v>
      </c>
      <c r="F734" s="12">
        <v>135</v>
      </c>
      <c r="G734" s="7">
        <v>0</v>
      </c>
      <c r="H734" s="10">
        <v>405</v>
      </c>
      <c r="I734" s="3">
        <v>45147</v>
      </c>
      <c r="J734" s="3" t="s">
        <v>2485</v>
      </c>
      <c r="K734" s="8">
        <v>1</v>
      </c>
    </row>
    <row r="735" spans="1:11" x14ac:dyDescent="0.25">
      <c r="A735" s="2" t="s">
        <v>1488</v>
      </c>
      <c r="B735" s="5" t="s">
        <v>1489</v>
      </c>
      <c r="C735" s="2" t="s">
        <v>32</v>
      </c>
      <c r="D735" s="1" t="s">
        <v>11</v>
      </c>
      <c r="E735" s="7">
        <v>1</v>
      </c>
      <c r="F735" s="12">
        <v>135</v>
      </c>
      <c r="G735" s="7">
        <v>0</v>
      </c>
      <c r="H735" s="10">
        <v>135</v>
      </c>
      <c r="I735" s="3">
        <v>45147</v>
      </c>
      <c r="J735" s="3" t="s">
        <v>2485</v>
      </c>
      <c r="K735" s="8">
        <v>1</v>
      </c>
    </row>
    <row r="736" spans="1:11" x14ac:dyDescent="0.25">
      <c r="A736" s="2" t="s">
        <v>1490</v>
      </c>
      <c r="B736" s="5" t="s">
        <v>1491</v>
      </c>
      <c r="C736" s="2" t="s">
        <v>32</v>
      </c>
      <c r="D736" s="1" t="s">
        <v>11</v>
      </c>
      <c r="E736" s="7">
        <v>1</v>
      </c>
      <c r="F736" s="12">
        <v>135</v>
      </c>
      <c r="G736" s="7">
        <v>0</v>
      </c>
      <c r="H736" s="10">
        <v>135</v>
      </c>
      <c r="I736" s="3">
        <v>45147</v>
      </c>
      <c r="J736" s="3" t="s">
        <v>2485</v>
      </c>
      <c r="K736" s="8">
        <v>3</v>
      </c>
    </row>
    <row r="737" spans="1:11" x14ac:dyDescent="0.25">
      <c r="A737" s="2" t="s">
        <v>1492</v>
      </c>
      <c r="B737" s="5" t="s">
        <v>1493</v>
      </c>
      <c r="C737" s="2" t="s">
        <v>167</v>
      </c>
      <c r="D737" s="1" t="s">
        <v>11</v>
      </c>
      <c r="E737" s="7">
        <v>1</v>
      </c>
      <c r="F737" s="12">
        <v>210</v>
      </c>
      <c r="G737" s="7">
        <v>0</v>
      </c>
      <c r="H737" s="10">
        <v>210</v>
      </c>
      <c r="I737" s="3">
        <v>45208</v>
      </c>
      <c r="J737" s="3" t="s">
        <v>2486</v>
      </c>
      <c r="K737" s="8">
        <v>4</v>
      </c>
    </row>
    <row r="738" spans="1:11" x14ac:dyDescent="0.25">
      <c r="A738" s="2" t="s">
        <v>1494</v>
      </c>
      <c r="B738" s="5" t="s">
        <v>1495</v>
      </c>
      <c r="C738" s="2" t="s">
        <v>47</v>
      </c>
      <c r="D738" s="1" t="s">
        <v>11</v>
      </c>
      <c r="E738" s="7">
        <v>1</v>
      </c>
      <c r="F738" s="12">
        <v>190</v>
      </c>
      <c r="G738" s="7">
        <v>0</v>
      </c>
      <c r="H738" s="10">
        <v>190</v>
      </c>
      <c r="I738" s="3">
        <v>45208</v>
      </c>
      <c r="J738" s="3" t="s">
        <v>2487</v>
      </c>
      <c r="K738" s="8">
        <v>2</v>
      </c>
    </row>
    <row r="739" spans="1:11" x14ac:dyDescent="0.25">
      <c r="A739" s="2" t="s">
        <v>1496</v>
      </c>
      <c r="B739" s="5" t="s">
        <v>1497</v>
      </c>
      <c r="C739" s="2" t="s">
        <v>93</v>
      </c>
      <c r="D739" s="1" t="s">
        <v>11</v>
      </c>
      <c r="E739" s="7">
        <v>1</v>
      </c>
      <c r="F739" s="12">
        <v>85</v>
      </c>
      <c r="G739" s="7">
        <v>0</v>
      </c>
      <c r="H739" s="10">
        <v>85</v>
      </c>
      <c r="I739" s="3">
        <v>45208</v>
      </c>
      <c r="J739" s="3" t="s">
        <v>2486</v>
      </c>
      <c r="K739" s="8">
        <v>1</v>
      </c>
    </row>
    <row r="740" spans="1:11" x14ac:dyDescent="0.25">
      <c r="A740" s="2" t="s">
        <v>1498</v>
      </c>
      <c r="B740" s="5" t="s">
        <v>1499</v>
      </c>
      <c r="C740" s="2" t="s">
        <v>167</v>
      </c>
      <c r="D740" s="1" t="s">
        <v>11</v>
      </c>
      <c r="E740" s="7">
        <v>1</v>
      </c>
      <c r="F740" s="12">
        <v>210</v>
      </c>
      <c r="G740" s="7">
        <v>0</v>
      </c>
      <c r="H740" s="10">
        <v>210</v>
      </c>
      <c r="I740" s="3">
        <v>45208</v>
      </c>
      <c r="J740" s="3" t="s">
        <v>2486</v>
      </c>
      <c r="K740" s="8">
        <v>3</v>
      </c>
    </row>
    <row r="741" spans="1:11" x14ac:dyDescent="0.25">
      <c r="A741" s="2" t="s">
        <v>1500</v>
      </c>
      <c r="B741" s="5" t="s">
        <v>1501</v>
      </c>
      <c r="C741" s="2" t="s">
        <v>47</v>
      </c>
      <c r="D741" s="1" t="s">
        <v>11</v>
      </c>
      <c r="E741" s="7">
        <v>1</v>
      </c>
      <c r="F741" s="12">
        <v>190</v>
      </c>
      <c r="G741" s="7">
        <v>0</v>
      </c>
      <c r="H741" s="10">
        <v>190</v>
      </c>
      <c r="I741" s="3">
        <v>45208</v>
      </c>
      <c r="J741" s="3" t="s">
        <v>2487</v>
      </c>
      <c r="K741" s="8">
        <v>3</v>
      </c>
    </row>
    <row r="742" spans="1:11" x14ac:dyDescent="0.25">
      <c r="A742" s="2" t="s">
        <v>1502</v>
      </c>
      <c r="B742" s="5" t="s">
        <v>1503</v>
      </c>
      <c r="C742" s="2" t="s">
        <v>93</v>
      </c>
      <c r="D742" s="1" t="s">
        <v>11</v>
      </c>
      <c r="E742" s="7">
        <v>1</v>
      </c>
      <c r="F742" s="12">
        <v>85</v>
      </c>
      <c r="G742" s="7">
        <v>0</v>
      </c>
      <c r="H742" s="10">
        <v>85</v>
      </c>
      <c r="I742" s="3">
        <v>45208</v>
      </c>
      <c r="J742" s="3" t="s">
        <v>2486</v>
      </c>
      <c r="K742" s="8">
        <v>4</v>
      </c>
    </row>
    <row r="743" spans="1:11" x14ac:dyDescent="0.25">
      <c r="A743" s="2" t="s">
        <v>1504</v>
      </c>
      <c r="B743" s="5" t="s">
        <v>1505</v>
      </c>
      <c r="C743" s="2" t="s">
        <v>47</v>
      </c>
      <c r="D743" s="1" t="s">
        <v>11</v>
      </c>
      <c r="E743" s="7">
        <v>1</v>
      </c>
      <c r="F743" s="12">
        <v>190</v>
      </c>
      <c r="G743" s="7">
        <v>0</v>
      </c>
      <c r="H743" s="10">
        <v>190</v>
      </c>
      <c r="I743" s="3">
        <v>45208</v>
      </c>
      <c r="J743" s="3" t="s">
        <v>2487</v>
      </c>
      <c r="K743" s="8">
        <v>1</v>
      </c>
    </row>
    <row r="744" spans="1:11" x14ac:dyDescent="0.25">
      <c r="A744" s="2" t="s">
        <v>1506</v>
      </c>
      <c r="B744" s="5" t="s">
        <v>1507</v>
      </c>
      <c r="C744" s="2" t="s">
        <v>93</v>
      </c>
      <c r="D744" s="1" t="s">
        <v>11</v>
      </c>
      <c r="E744" s="7">
        <v>1</v>
      </c>
      <c r="F744" s="12">
        <v>85</v>
      </c>
      <c r="G744" s="7">
        <v>0</v>
      </c>
      <c r="H744" s="10">
        <v>85</v>
      </c>
      <c r="I744" s="3">
        <v>45208</v>
      </c>
      <c r="J744" s="3" t="s">
        <v>2486</v>
      </c>
      <c r="K744" s="8">
        <v>2</v>
      </c>
    </row>
    <row r="745" spans="1:11" x14ac:dyDescent="0.25">
      <c r="A745" s="2" t="s">
        <v>1508</v>
      </c>
      <c r="B745" s="5" t="s">
        <v>1509</v>
      </c>
      <c r="C745" s="2" t="s">
        <v>19</v>
      </c>
      <c r="D745" s="1" t="s">
        <v>11</v>
      </c>
      <c r="E745" s="7">
        <v>2</v>
      </c>
      <c r="F745" s="12">
        <v>130</v>
      </c>
      <c r="G745" s="7">
        <v>0</v>
      </c>
      <c r="H745" s="10">
        <v>260</v>
      </c>
      <c r="I745" s="3">
        <v>45239</v>
      </c>
      <c r="J745" s="3" t="s">
        <v>2486</v>
      </c>
      <c r="K745" s="8">
        <v>1</v>
      </c>
    </row>
    <row r="746" spans="1:11" x14ac:dyDescent="0.25">
      <c r="A746" s="2" t="s">
        <v>1510</v>
      </c>
      <c r="B746" s="5" t="s">
        <v>1511</v>
      </c>
      <c r="C746" s="2" t="s">
        <v>19</v>
      </c>
      <c r="D746" s="1" t="s">
        <v>11</v>
      </c>
      <c r="E746" s="7">
        <v>2</v>
      </c>
      <c r="F746" s="12">
        <v>130</v>
      </c>
      <c r="G746" s="7">
        <v>0</v>
      </c>
      <c r="H746" s="10">
        <v>260</v>
      </c>
      <c r="I746" s="3">
        <v>45239</v>
      </c>
      <c r="J746" s="3" t="s">
        <v>2486</v>
      </c>
      <c r="K746" s="8">
        <v>4</v>
      </c>
    </row>
    <row r="747" spans="1:11" x14ac:dyDescent="0.25">
      <c r="A747" s="2" t="s">
        <v>1512</v>
      </c>
      <c r="B747" s="5" t="s">
        <v>1513</v>
      </c>
      <c r="C747" s="2" t="s">
        <v>19</v>
      </c>
      <c r="D747" s="1" t="s">
        <v>11</v>
      </c>
      <c r="E747" s="7">
        <v>1</v>
      </c>
      <c r="F747" s="12">
        <v>130</v>
      </c>
      <c r="G747" s="7">
        <v>5</v>
      </c>
      <c r="H747" s="10">
        <v>125</v>
      </c>
      <c r="I747" s="3">
        <v>45269</v>
      </c>
      <c r="J747" s="3" t="s">
        <v>2486</v>
      </c>
      <c r="K747" s="8">
        <v>1</v>
      </c>
    </row>
    <row r="748" spans="1:11" x14ac:dyDescent="0.25">
      <c r="A748" s="2" t="s">
        <v>1514</v>
      </c>
      <c r="B748" s="5" t="s">
        <v>1515</v>
      </c>
      <c r="C748" s="2" t="s">
        <v>32</v>
      </c>
      <c r="D748" s="1" t="s">
        <v>11</v>
      </c>
      <c r="E748" s="7">
        <v>1</v>
      </c>
      <c r="F748" s="12">
        <v>135</v>
      </c>
      <c r="G748" s="7">
        <v>10</v>
      </c>
      <c r="H748" s="10">
        <v>125</v>
      </c>
      <c r="I748" s="3">
        <v>45269</v>
      </c>
      <c r="J748" s="3" t="s">
        <v>2488</v>
      </c>
      <c r="K748" s="8">
        <v>3</v>
      </c>
    </row>
    <row r="749" spans="1:11" x14ac:dyDescent="0.25">
      <c r="A749" s="2" t="s">
        <v>1516</v>
      </c>
      <c r="B749" s="5" t="s">
        <v>1517</v>
      </c>
      <c r="C749" s="2" t="s">
        <v>19</v>
      </c>
      <c r="D749" s="1" t="s">
        <v>11</v>
      </c>
      <c r="E749" s="7">
        <v>1</v>
      </c>
      <c r="F749" s="12">
        <v>130</v>
      </c>
      <c r="G749" s="7">
        <v>5</v>
      </c>
      <c r="H749" s="10">
        <v>125</v>
      </c>
      <c r="I749" s="3">
        <v>45269</v>
      </c>
      <c r="J749" s="3" t="s">
        <v>2486</v>
      </c>
      <c r="K749" s="8">
        <v>3</v>
      </c>
    </row>
    <row r="750" spans="1:11" x14ac:dyDescent="0.25">
      <c r="A750" s="2" t="s">
        <v>1518</v>
      </c>
      <c r="B750" s="5" t="s">
        <v>1519</v>
      </c>
      <c r="C750" s="2" t="s">
        <v>32</v>
      </c>
      <c r="D750" s="1" t="s">
        <v>11</v>
      </c>
      <c r="E750" s="7">
        <v>1</v>
      </c>
      <c r="F750" s="12">
        <v>135</v>
      </c>
      <c r="G750" s="7">
        <v>10</v>
      </c>
      <c r="H750" s="10">
        <v>125</v>
      </c>
      <c r="I750" s="3">
        <v>45269</v>
      </c>
      <c r="J750" s="3" t="s">
        <v>2488</v>
      </c>
      <c r="K750" s="8">
        <v>1</v>
      </c>
    </row>
    <row r="751" spans="1:11" x14ac:dyDescent="0.25">
      <c r="A751" s="2" t="s">
        <v>1520</v>
      </c>
      <c r="B751" s="5" t="s">
        <v>1521</v>
      </c>
      <c r="C751" s="2" t="s">
        <v>32</v>
      </c>
      <c r="D751" s="1" t="s">
        <v>11</v>
      </c>
      <c r="E751" s="7">
        <v>1</v>
      </c>
      <c r="F751" s="12">
        <v>135</v>
      </c>
      <c r="G751" s="7">
        <v>10</v>
      </c>
      <c r="H751" s="10">
        <v>125</v>
      </c>
      <c r="I751" s="3">
        <v>45269</v>
      </c>
      <c r="J751" s="3" t="s">
        <v>2488</v>
      </c>
      <c r="K751" s="8">
        <v>2</v>
      </c>
    </row>
    <row r="752" spans="1:11" x14ac:dyDescent="0.25">
      <c r="A752" s="2" t="s">
        <v>1522</v>
      </c>
      <c r="B752" s="5" t="s">
        <v>1523</v>
      </c>
      <c r="C752" s="2" t="s">
        <v>19</v>
      </c>
      <c r="D752" s="1" t="s">
        <v>11</v>
      </c>
      <c r="E752" s="7">
        <v>2</v>
      </c>
      <c r="F752" s="12">
        <v>130</v>
      </c>
      <c r="G752" s="7">
        <v>5</v>
      </c>
      <c r="H752" s="10">
        <v>255</v>
      </c>
      <c r="I752" s="3">
        <v>45182</v>
      </c>
      <c r="J752" s="3" t="s">
        <v>2487</v>
      </c>
      <c r="K752" s="8">
        <v>2</v>
      </c>
    </row>
    <row r="753" spans="1:11" x14ac:dyDescent="0.25">
      <c r="A753" s="2" t="s">
        <v>1524</v>
      </c>
      <c r="B753" s="5" t="s">
        <v>1525</v>
      </c>
      <c r="C753" s="2" t="s">
        <v>19</v>
      </c>
      <c r="D753" s="1" t="s">
        <v>11</v>
      </c>
      <c r="E753" s="7">
        <v>2</v>
      </c>
      <c r="F753" s="12">
        <v>130</v>
      </c>
      <c r="G753" s="7">
        <v>5</v>
      </c>
      <c r="H753" s="10">
        <v>255</v>
      </c>
      <c r="I753" s="3">
        <v>45182</v>
      </c>
      <c r="J753" s="3" t="s">
        <v>2487</v>
      </c>
      <c r="K753" s="8">
        <v>4</v>
      </c>
    </row>
    <row r="754" spans="1:11" x14ac:dyDescent="0.25">
      <c r="A754" s="2" t="s">
        <v>1526</v>
      </c>
      <c r="B754" s="5" t="s">
        <v>1527</v>
      </c>
      <c r="C754" s="2" t="s">
        <v>19</v>
      </c>
      <c r="D754" s="1" t="s">
        <v>11</v>
      </c>
      <c r="E754" s="7">
        <v>1</v>
      </c>
      <c r="F754" s="12">
        <v>130</v>
      </c>
      <c r="G754" s="7">
        <v>5</v>
      </c>
      <c r="H754" s="10">
        <v>125</v>
      </c>
      <c r="I754" s="3">
        <v>45184</v>
      </c>
      <c r="J754" s="3" t="s">
        <v>2491</v>
      </c>
      <c r="K754" s="8">
        <v>2</v>
      </c>
    </row>
    <row r="755" spans="1:11" x14ac:dyDescent="0.25">
      <c r="A755" s="2" t="s">
        <v>1528</v>
      </c>
      <c r="B755" s="5" t="s">
        <v>1529</v>
      </c>
      <c r="C755" s="2" t="s">
        <v>19</v>
      </c>
      <c r="D755" s="1" t="s">
        <v>11</v>
      </c>
      <c r="E755" s="7">
        <v>1</v>
      </c>
      <c r="F755" s="12">
        <v>130</v>
      </c>
      <c r="G755" s="7">
        <v>0</v>
      </c>
      <c r="H755" s="10">
        <v>130</v>
      </c>
      <c r="I755" s="3">
        <v>45184</v>
      </c>
      <c r="J755" s="3" t="s">
        <v>2492</v>
      </c>
      <c r="K755" s="8">
        <v>2</v>
      </c>
    </row>
    <row r="756" spans="1:11" x14ac:dyDescent="0.25">
      <c r="A756" s="2" t="s">
        <v>1530</v>
      </c>
      <c r="B756" s="5" t="s">
        <v>1531</v>
      </c>
      <c r="C756" s="2" t="s">
        <v>32</v>
      </c>
      <c r="D756" s="1" t="s">
        <v>11</v>
      </c>
      <c r="E756" s="7">
        <v>1</v>
      </c>
      <c r="F756" s="12">
        <v>135</v>
      </c>
      <c r="G756" s="7">
        <v>0</v>
      </c>
      <c r="H756" s="10">
        <v>135</v>
      </c>
      <c r="I756" s="3">
        <v>45184</v>
      </c>
      <c r="J756" s="3" t="s">
        <v>2493</v>
      </c>
      <c r="K756" s="8">
        <v>2</v>
      </c>
    </row>
    <row r="757" spans="1:11" x14ac:dyDescent="0.25">
      <c r="A757" s="2" t="s">
        <v>1532</v>
      </c>
      <c r="B757" s="5" t="s">
        <v>1533</v>
      </c>
      <c r="C757" s="2" t="s">
        <v>19</v>
      </c>
      <c r="D757" s="1" t="s">
        <v>11</v>
      </c>
      <c r="E757" s="7">
        <v>1</v>
      </c>
      <c r="F757" s="12">
        <v>130</v>
      </c>
      <c r="G757" s="7">
        <v>5</v>
      </c>
      <c r="H757" s="10">
        <v>125</v>
      </c>
      <c r="I757" s="3">
        <v>45184</v>
      </c>
      <c r="J757" s="3" t="s">
        <v>2492</v>
      </c>
      <c r="K757" s="8">
        <v>4</v>
      </c>
    </row>
    <row r="758" spans="1:11" x14ac:dyDescent="0.25">
      <c r="A758" s="2" t="s">
        <v>1534</v>
      </c>
      <c r="B758" s="5" t="s">
        <v>1535</v>
      </c>
      <c r="C758" s="2" t="s">
        <v>19</v>
      </c>
      <c r="D758" s="1" t="s">
        <v>11</v>
      </c>
      <c r="E758" s="7">
        <v>1</v>
      </c>
      <c r="F758" s="12">
        <v>130</v>
      </c>
      <c r="G758" s="7">
        <v>5</v>
      </c>
      <c r="H758" s="10">
        <v>125</v>
      </c>
      <c r="I758" s="3">
        <v>45184</v>
      </c>
      <c r="J758" s="3" t="s">
        <v>2491</v>
      </c>
      <c r="K758" s="8">
        <v>1</v>
      </c>
    </row>
    <row r="759" spans="1:11" x14ac:dyDescent="0.25">
      <c r="A759" s="2" t="s">
        <v>1536</v>
      </c>
      <c r="B759" s="5" t="s">
        <v>1537</v>
      </c>
      <c r="C759" s="2" t="s">
        <v>19</v>
      </c>
      <c r="D759" s="1" t="s">
        <v>11</v>
      </c>
      <c r="E759" s="7">
        <v>1</v>
      </c>
      <c r="F759" s="12">
        <v>130</v>
      </c>
      <c r="G759" s="7">
        <v>0</v>
      </c>
      <c r="H759" s="10">
        <v>130</v>
      </c>
      <c r="I759" s="3">
        <v>45184</v>
      </c>
      <c r="J759" s="3" t="s">
        <v>2492</v>
      </c>
      <c r="K759" s="8">
        <v>3</v>
      </c>
    </row>
    <row r="760" spans="1:11" x14ac:dyDescent="0.25">
      <c r="A760" s="2" t="s">
        <v>1538</v>
      </c>
      <c r="B760" s="5" t="s">
        <v>1539</v>
      </c>
      <c r="C760" s="2" t="s">
        <v>32</v>
      </c>
      <c r="D760" s="1" t="s">
        <v>11</v>
      </c>
      <c r="E760" s="7">
        <v>1</v>
      </c>
      <c r="F760" s="12">
        <v>135</v>
      </c>
      <c r="G760" s="7">
        <v>0</v>
      </c>
      <c r="H760" s="10">
        <v>135</v>
      </c>
      <c r="I760" s="3">
        <v>45184</v>
      </c>
      <c r="J760" s="3" t="s">
        <v>2493</v>
      </c>
      <c r="K760" s="8">
        <v>1</v>
      </c>
    </row>
    <row r="761" spans="1:11" x14ac:dyDescent="0.25">
      <c r="A761" s="2" t="s">
        <v>1540</v>
      </c>
      <c r="B761" s="5" t="s">
        <v>1541</v>
      </c>
      <c r="C761" s="2" t="s">
        <v>19</v>
      </c>
      <c r="D761" s="1" t="s">
        <v>11</v>
      </c>
      <c r="E761" s="7">
        <v>1</v>
      </c>
      <c r="F761" s="12">
        <v>130</v>
      </c>
      <c r="G761" s="7">
        <v>5</v>
      </c>
      <c r="H761" s="10">
        <v>125</v>
      </c>
      <c r="I761" s="3">
        <v>45184</v>
      </c>
      <c r="J761" s="3" t="s">
        <v>2492</v>
      </c>
      <c r="K761" s="8">
        <v>3</v>
      </c>
    </row>
    <row r="762" spans="1:11" x14ac:dyDescent="0.25">
      <c r="A762" s="2" t="s">
        <v>1542</v>
      </c>
      <c r="B762" s="5" t="s">
        <v>1543</v>
      </c>
      <c r="C762" s="2" t="s">
        <v>32</v>
      </c>
      <c r="D762" s="1" t="s">
        <v>11</v>
      </c>
      <c r="E762" s="7">
        <v>1</v>
      </c>
      <c r="F762" s="12">
        <v>135</v>
      </c>
      <c r="G762" s="7">
        <v>0</v>
      </c>
      <c r="H762" s="10">
        <v>135</v>
      </c>
      <c r="I762" s="3">
        <v>45185</v>
      </c>
      <c r="J762" s="3" t="s">
        <v>2495</v>
      </c>
      <c r="K762" s="8">
        <v>4</v>
      </c>
    </row>
    <row r="763" spans="1:11" x14ac:dyDescent="0.25">
      <c r="A763" s="2" t="s">
        <v>1544</v>
      </c>
      <c r="B763" s="5" t="s">
        <v>1545</v>
      </c>
      <c r="C763" s="2" t="s">
        <v>32</v>
      </c>
      <c r="D763" s="1" t="s">
        <v>11</v>
      </c>
      <c r="E763" s="7">
        <v>1</v>
      </c>
      <c r="F763" s="12">
        <v>135</v>
      </c>
      <c r="G763" s="7">
        <v>0</v>
      </c>
      <c r="H763" s="10">
        <v>135</v>
      </c>
      <c r="I763" s="3">
        <v>45185</v>
      </c>
      <c r="J763" s="3" t="s">
        <v>2496</v>
      </c>
      <c r="K763" s="8">
        <v>3</v>
      </c>
    </row>
    <row r="764" spans="1:11" x14ac:dyDescent="0.25">
      <c r="A764" s="2" t="s">
        <v>1546</v>
      </c>
      <c r="B764" s="5" t="s">
        <v>1547</v>
      </c>
      <c r="C764" s="2" t="s">
        <v>32</v>
      </c>
      <c r="D764" s="1" t="s">
        <v>11</v>
      </c>
      <c r="E764" s="7">
        <v>1</v>
      </c>
      <c r="F764" s="12">
        <v>135</v>
      </c>
      <c r="G764" s="7">
        <v>0</v>
      </c>
      <c r="H764" s="10">
        <v>135</v>
      </c>
      <c r="I764" s="3">
        <v>45185</v>
      </c>
      <c r="J764" s="3" t="s">
        <v>2495</v>
      </c>
      <c r="K764" s="8">
        <v>3</v>
      </c>
    </row>
    <row r="765" spans="1:11" x14ac:dyDescent="0.25">
      <c r="A765" s="2" t="s">
        <v>1548</v>
      </c>
      <c r="B765" s="5" t="s">
        <v>1549</v>
      </c>
      <c r="C765" s="2" t="s">
        <v>32</v>
      </c>
      <c r="D765" s="1" t="s">
        <v>11</v>
      </c>
      <c r="E765" s="7">
        <v>1</v>
      </c>
      <c r="F765" s="12">
        <v>135</v>
      </c>
      <c r="G765" s="7">
        <v>0</v>
      </c>
      <c r="H765" s="10">
        <v>135</v>
      </c>
      <c r="I765" s="3">
        <v>45185</v>
      </c>
      <c r="J765" s="3" t="s">
        <v>2496</v>
      </c>
      <c r="K765" s="8">
        <v>3</v>
      </c>
    </row>
    <row r="766" spans="1:11" x14ac:dyDescent="0.25">
      <c r="A766" s="2" t="s">
        <v>1550</v>
      </c>
      <c r="B766" s="5" t="s">
        <v>1551</v>
      </c>
      <c r="C766" s="2" t="s">
        <v>70</v>
      </c>
      <c r="D766" s="1" t="s">
        <v>11</v>
      </c>
      <c r="E766" s="7">
        <v>1</v>
      </c>
      <c r="F766" s="12">
        <v>125</v>
      </c>
      <c r="G766" s="7">
        <v>0</v>
      </c>
      <c r="H766" s="10">
        <v>125</v>
      </c>
      <c r="I766" s="3">
        <v>45186</v>
      </c>
      <c r="J766" s="3" t="s">
        <v>2493</v>
      </c>
      <c r="K766" s="8">
        <v>3</v>
      </c>
    </row>
    <row r="767" spans="1:11" x14ac:dyDescent="0.25">
      <c r="A767" s="2" t="s">
        <v>1552</v>
      </c>
      <c r="B767" s="5" t="s">
        <v>1553</v>
      </c>
      <c r="C767" s="2" t="s">
        <v>19</v>
      </c>
      <c r="D767" s="1" t="s">
        <v>11</v>
      </c>
      <c r="E767" s="7">
        <v>1</v>
      </c>
      <c r="F767" s="12">
        <v>130</v>
      </c>
      <c r="G767" s="7">
        <v>0</v>
      </c>
      <c r="H767" s="10">
        <v>130</v>
      </c>
      <c r="I767" s="3">
        <v>45186</v>
      </c>
      <c r="J767" s="3" t="s">
        <v>2496</v>
      </c>
      <c r="K767" s="8">
        <v>3</v>
      </c>
    </row>
    <row r="768" spans="1:11" x14ac:dyDescent="0.25">
      <c r="A768" s="2" t="s">
        <v>1554</v>
      </c>
      <c r="B768" s="5" t="s">
        <v>1555</v>
      </c>
      <c r="C768" s="2" t="s">
        <v>70</v>
      </c>
      <c r="D768" s="1" t="s">
        <v>11</v>
      </c>
      <c r="E768" s="7">
        <v>1</v>
      </c>
      <c r="F768" s="12">
        <v>125</v>
      </c>
      <c r="G768" s="7">
        <v>0</v>
      </c>
      <c r="H768" s="10">
        <v>125</v>
      </c>
      <c r="I768" s="3">
        <v>45186</v>
      </c>
      <c r="J768" s="3" t="s">
        <v>2493</v>
      </c>
      <c r="K768" s="8">
        <v>2</v>
      </c>
    </row>
    <row r="769" spans="1:11" x14ac:dyDescent="0.25">
      <c r="A769" s="2" t="s">
        <v>1556</v>
      </c>
      <c r="B769" s="5" t="s">
        <v>1557</v>
      </c>
      <c r="C769" s="2" t="s">
        <v>19</v>
      </c>
      <c r="D769" s="1" t="s">
        <v>11</v>
      </c>
      <c r="E769" s="7">
        <v>1</v>
      </c>
      <c r="F769" s="12">
        <v>130</v>
      </c>
      <c r="G769" s="7">
        <v>0</v>
      </c>
      <c r="H769" s="10">
        <v>130</v>
      </c>
      <c r="I769" s="3">
        <v>45186</v>
      </c>
      <c r="J769" s="3" t="s">
        <v>2496</v>
      </c>
      <c r="K769" s="8">
        <v>2</v>
      </c>
    </row>
    <row r="770" spans="1:11" x14ac:dyDescent="0.25">
      <c r="A770" s="2" t="s">
        <v>1558</v>
      </c>
      <c r="B770" s="5" t="s">
        <v>1559</v>
      </c>
      <c r="C770" s="2" t="s">
        <v>70</v>
      </c>
      <c r="D770" s="1" t="s">
        <v>11</v>
      </c>
      <c r="E770" s="7">
        <v>3</v>
      </c>
      <c r="F770" s="12">
        <v>125</v>
      </c>
      <c r="G770" s="7">
        <v>5</v>
      </c>
      <c r="H770" s="10">
        <v>370</v>
      </c>
      <c r="I770" s="3">
        <v>45187</v>
      </c>
      <c r="J770" s="3" t="s">
        <v>2495</v>
      </c>
      <c r="K770" s="8">
        <v>4</v>
      </c>
    </row>
    <row r="771" spans="1:11" x14ac:dyDescent="0.25">
      <c r="A771" s="2" t="s">
        <v>1560</v>
      </c>
      <c r="B771" s="5" t="s">
        <v>1561</v>
      </c>
      <c r="C771" s="2" t="s">
        <v>32</v>
      </c>
      <c r="D771" s="1" t="s">
        <v>11</v>
      </c>
      <c r="E771" s="7">
        <v>1</v>
      </c>
      <c r="F771" s="12">
        <v>135</v>
      </c>
      <c r="G771" s="7">
        <v>5</v>
      </c>
      <c r="H771" s="10">
        <v>130</v>
      </c>
      <c r="I771" s="3">
        <v>45187</v>
      </c>
      <c r="J771" s="3" t="s">
        <v>2492</v>
      </c>
      <c r="K771" s="8">
        <v>3</v>
      </c>
    </row>
    <row r="772" spans="1:11" x14ac:dyDescent="0.25">
      <c r="A772" s="2" t="s">
        <v>1562</v>
      </c>
      <c r="B772" s="5" t="s">
        <v>1563</v>
      </c>
      <c r="C772" s="2" t="s">
        <v>70</v>
      </c>
      <c r="D772" s="1" t="s">
        <v>11</v>
      </c>
      <c r="E772" s="7">
        <v>3</v>
      </c>
      <c r="F772" s="12">
        <v>125</v>
      </c>
      <c r="G772" s="7">
        <v>5</v>
      </c>
      <c r="H772" s="10">
        <v>370</v>
      </c>
      <c r="I772" s="3">
        <v>45187</v>
      </c>
      <c r="J772" s="3" t="s">
        <v>2495</v>
      </c>
      <c r="K772" s="8">
        <v>1</v>
      </c>
    </row>
    <row r="773" spans="1:11" x14ac:dyDescent="0.25">
      <c r="A773" s="2" t="s">
        <v>1564</v>
      </c>
      <c r="B773" s="5" t="s">
        <v>1565</v>
      </c>
      <c r="C773" s="2" t="s">
        <v>32</v>
      </c>
      <c r="D773" s="1" t="s">
        <v>11</v>
      </c>
      <c r="E773" s="7">
        <v>1</v>
      </c>
      <c r="F773" s="12">
        <v>135</v>
      </c>
      <c r="G773" s="7">
        <v>5</v>
      </c>
      <c r="H773" s="10">
        <v>130</v>
      </c>
      <c r="I773" s="3">
        <v>45187</v>
      </c>
      <c r="J773" s="3" t="s">
        <v>2492</v>
      </c>
      <c r="K773" s="8">
        <v>1</v>
      </c>
    </row>
    <row r="774" spans="1:11" x14ac:dyDescent="0.25">
      <c r="A774" s="2" t="s">
        <v>1566</v>
      </c>
      <c r="B774" s="5" t="s">
        <v>1567</v>
      </c>
      <c r="C774" s="2" t="s">
        <v>19</v>
      </c>
      <c r="D774" s="1" t="s">
        <v>11</v>
      </c>
      <c r="E774" s="7">
        <v>2</v>
      </c>
      <c r="F774" s="12">
        <v>130</v>
      </c>
      <c r="G774" s="7">
        <v>0</v>
      </c>
      <c r="H774" s="10">
        <v>260</v>
      </c>
      <c r="I774" s="3">
        <v>45188</v>
      </c>
      <c r="J774" s="3" t="s">
        <v>2495</v>
      </c>
      <c r="K774" s="8">
        <v>4</v>
      </c>
    </row>
    <row r="775" spans="1:11" x14ac:dyDescent="0.25">
      <c r="A775" s="2" t="s">
        <v>1568</v>
      </c>
      <c r="B775" s="5" t="s">
        <v>1569</v>
      </c>
      <c r="C775" s="2" t="s">
        <v>19</v>
      </c>
      <c r="D775" s="1" t="s">
        <v>11</v>
      </c>
      <c r="E775" s="7">
        <v>2</v>
      </c>
      <c r="F775" s="12">
        <v>130</v>
      </c>
      <c r="G775" s="7">
        <v>0</v>
      </c>
      <c r="H775" s="10">
        <v>260</v>
      </c>
      <c r="I775" s="3">
        <v>45188</v>
      </c>
      <c r="J775" s="3" t="s">
        <v>2495</v>
      </c>
      <c r="K775" s="8">
        <v>3</v>
      </c>
    </row>
    <row r="776" spans="1:11" x14ac:dyDescent="0.25">
      <c r="A776" s="2" t="s">
        <v>1570</v>
      </c>
      <c r="B776" s="5" t="s">
        <v>1571</v>
      </c>
      <c r="C776" s="2" t="s">
        <v>19</v>
      </c>
      <c r="D776" s="1" t="s">
        <v>11</v>
      </c>
      <c r="E776" s="7">
        <v>2</v>
      </c>
      <c r="F776" s="12">
        <v>130</v>
      </c>
      <c r="G776" s="7">
        <v>0</v>
      </c>
      <c r="H776" s="10">
        <v>260</v>
      </c>
      <c r="I776" s="3">
        <v>45188</v>
      </c>
      <c r="J776" s="3" t="s">
        <v>2495</v>
      </c>
      <c r="K776" s="8">
        <v>1</v>
      </c>
    </row>
    <row r="777" spans="1:11" x14ac:dyDescent="0.25">
      <c r="A777" s="2" t="s">
        <v>1572</v>
      </c>
      <c r="B777" s="5" t="s">
        <v>1573</v>
      </c>
      <c r="C777" s="2" t="s">
        <v>16</v>
      </c>
      <c r="D777" s="1" t="s">
        <v>11</v>
      </c>
      <c r="E777" s="7">
        <v>1</v>
      </c>
      <c r="F777" s="12">
        <v>90</v>
      </c>
      <c r="G777" s="7">
        <v>5</v>
      </c>
      <c r="H777" s="10">
        <v>85</v>
      </c>
      <c r="I777" s="3">
        <v>45189</v>
      </c>
      <c r="J777" s="3" t="s">
        <v>2501</v>
      </c>
      <c r="K777" s="8">
        <v>2</v>
      </c>
    </row>
    <row r="778" spans="1:11" x14ac:dyDescent="0.25">
      <c r="A778" s="2" t="s">
        <v>1574</v>
      </c>
      <c r="B778" s="5" t="s">
        <v>1575</v>
      </c>
      <c r="C778" s="2" t="s">
        <v>19</v>
      </c>
      <c r="D778" s="1" t="s">
        <v>11</v>
      </c>
      <c r="E778" s="7">
        <v>1</v>
      </c>
      <c r="F778" s="12">
        <v>130</v>
      </c>
      <c r="G778" s="7">
        <v>5</v>
      </c>
      <c r="H778" s="10">
        <v>125</v>
      </c>
      <c r="I778" s="3">
        <v>45189</v>
      </c>
      <c r="J778" s="3" t="s">
        <v>2502</v>
      </c>
      <c r="K778" s="8">
        <v>3</v>
      </c>
    </row>
    <row r="779" spans="1:11" x14ac:dyDescent="0.25">
      <c r="A779" s="2" t="s">
        <v>1576</v>
      </c>
      <c r="B779" s="5" t="s">
        <v>1577</v>
      </c>
      <c r="C779" s="2" t="s">
        <v>16</v>
      </c>
      <c r="D779" s="1" t="s">
        <v>11</v>
      </c>
      <c r="E779" s="7">
        <v>1</v>
      </c>
      <c r="F779" s="12">
        <v>90</v>
      </c>
      <c r="G779" s="7">
        <v>5</v>
      </c>
      <c r="H779" s="10">
        <v>85</v>
      </c>
      <c r="I779" s="3">
        <v>45189</v>
      </c>
      <c r="J779" s="3" t="s">
        <v>2501</v>
      </c>
      <c r="K779" s="8">
        <v>4</v>
      </c>
    </row>
    <row r="780" spans="1:11" x14ac:dyDescent="0.25">
      <c r="A780" s="2" t="s">
        <v>1578</v>
      </c>
      <c r="B780" s="5" t="s">
        <v>1579</v>
      </c>
      <c r="C780" s="2" t="s">
        <v>19</v>
      </c>
      <c r="D780" s="1" t="s">
        <v>11</v>
      </c>
      <c r="E780" s="7">
        <v>1</v>
      </c>
      <c r="F780" s="12">
        <v>130</v>
      </c>
      <c r="G780" s="7">
        <v>5</v>
      </c>
      <c r="H780" s="10">
        <v>125</v>
      </c>
      <c r="I780" s="3">
        <v>45189</v>
      </c>
      <c r="J780" s="3" t="s">
        <v>2502</v>
      </c>
      <c r="K780" s="8">
        <v>2</v>
      </c>
    </row>
    <row r="781" spans="1:11" x14ac:dyDescent="0.25">
      <c r="A781" s="2" t="s">
        <v>1580</v>
      </c>
      <c r="B781" s="5" t="s">
        <v>1581</v>
      </c>
      <c r="C781" s="2" t="s">
        <v>19</v>
      </c>
      <c r="D781" s="1" t="s">
        <v>11</v>
      </c>
      <c r="E781" s="7">
        <v>1</v>
      </c>
      <c r="F781" s="12">
        <v>130</v>
      </c>
      <c r="G781" s="7">
        <v>5</v>
      </c>
      <c r="H781" s="10">
        <v>125</v>
      </c>
      <c r="I781" s="3">
        <v>45189</v>
      </c>
      <c r="J781" s="3" t="s">
        <v>2502</v>
      </c>
      <c r="K781" s="8">
        <v>4</v>
      </c>
    </row>
    <row r="782" spans="1:11" x14ac:dyDescent="0.25">
      <c r="A782" s="2" t="s">
        <v>1582</v>
      </c>
      <c r="B782" s="5" t="s">
        <v>1583</v>
      </c>
      <c r="C782" s="2" t="s">
        <v>70</v>
      </c>
      <c r="D782" s="1" t="s">
        <v>11</v>
      </c>
      <c r="E782" s="7">
        <v>1</v>
      </c>
      <c r="F782" s="12">
        <v>125</v>
      </c>
      <c r="G782" s="7">
        <v>0</v>
      </c>
      <c r="H782" s="10">
        <v>125</v>
      </c>
      <c r="I782" s="3">
        <v>45193</v>
      </c>
      <c r="J782" s="3" t="s">
        <v>2504</v>
      </c>
      <c r="K782" s="8">
        <v>1</v>
      </c>
    </row>
    <row r="783" spans="1:11" x14ac:dyDescent="0.25">
      <c r="A783" s="2" t="s">
        <v>1584</v>
      </c>
      <c r="B783" s="5" t="s">
        <v>1585</v>
      </c>
      <c r="C783" s="2" t="s">
        <v>70</v>
      </c>
      <c r="D783" s="1" t="s">
        <v>11</v>
      </c>
      <c r="E783" s="7">
        <v>1</v>
      </c>
      <c r="F783" s="12">
        <v>125</v>
      </c>
      <c r="G783" s="7">
        <v>0</v>
      </c>
      <c r="H783" s="10">
        <v>125</v>
      </c>
      <c r="I783" s="3">
        <v>45193</v>
      </c>
      <c r="J783" s="3" t="s">
        <v>2504</v>
      </c>
      <c r="K783" s="8">
        <v>1</v>
      </c>
    </row>
    <row r="784" spans="1:11" x14ac:dyDescent="0.25">
      <c r="A784" s="2" t="s">
        <v>1586</v>
      </c>
      <c r="B784" s="5" t="s">
        <v>1587</v>
      </c>
      <c r="C784" s="2" t="s">
        <v>70</v>
      </c>
      <c r="D784" s="1" t="s">
        <v>11</v>
      </c>
      <c r="E784" s="7">
        <v>1</v>
      </c>
      <c r="F784" s="12">
        <v>125</v>
      </c>
      <c r="G784" s="7">
        <v>0</v>
      </c>
      <c r="H784" s="10">
        <v>125</v>
      </c>
      <c r="I784" s="3">
        <v>45193</v>
      </c>
      <c r="J784" s="3" t="s">
        <v>2504</v>
      </c>
      <c r="K784" s="8">
        <v>2</v>
      </c>
    </row>
    <row r="785" spans="1:11" x14ac:dyDescent="0.25">
      <c r="A785" s="2" t="s">
        <v>1588</v>
      </c>
      <c r="B785" s="5" t="s">
        <v>1589</v>
      </c>
      <c r="C785" s="2" t="s">
        <v>10</v>
      </c>
      <c r="D785" s="1" t="s">
        <v>11</v>
      </c>
      <c r="E785" s="7">
        <v>1</v>
      </c>
      <c r="F785" s="12">
        <v>160</v>
      </c>
      <c r="G785" s="7">
        <v>10</v>
      </c>
      <c r="H785" s="10">
        <v>150</v>
      </c>
      <c r="I785" s="3">
        <v>45194</v>
      </c>
      <c r="J785" s="3" t="s">
        <v>2506</v>
      </c>
      <c r="K785" s="8">
        <v>4</v>
      </c>
    </row>
    <row r="786" spans="1:11" x14ac:dyDescent="0.25">
      <c r="A786" s="2" t="s">
        <v>1590</v>
      </c>
      <c r="B786" s="5" t="s">
        <v>1591</v>
      </c>
      <c r="C786" s="2" t="s">
        <v>19</v>
      </c>
      <c r="D786" s="1" t="s">
        <v>11</v>
      </c>
      <c r="E786" s="7">
        <v>1</v>
      </c>
      <c r="F786" s="12">
        <v>130</v>
      </c>
      <c r="G786" s="7">
        <v>0</v>
      </c>
      <c r="H786" s="10">
        <v>130</v>
      </c>
      <c r="I786" s="3">
        <v>45194</v>
      </c>
      <c r="J786" s="3" t="s">
        <v>2507</v>
      </c>
      <c r="K786" s="8">
        <v>4</v>
      </c>
    </row>
    <row r="787" spans="1:11" x14ac:dyDescent="0.25">
      <c r="A787" s="2" t="s">
        <v>1592</v>
      </c>
      <c r="B787" s="5" t="s">
        <v>1593</v>
      </c>
      <c r="C787" s="2" t="s">
        <v>10</v>
      </c>
      <c r="D787" s="1" t="s">
        <v>11</v>
      </c>
      <c r="E787" s="7">
        <v>1</v>
      </c>
      <c r="F787" s="12">
        <v>160</v>
      </c>
      <c r="G787" s="7">
        <v>10</v>
      </c>
      <c r="H787" s="10">
        <v>150</v>
      </c>
      <c r="I787" s="3">
        <v>45194</v>
      </c>
      <c r="J787" s="3" t="s">
        <v>2506</v>
      </c>
      <c r="K787" s="8">
        <v>4</v>
      </c>
    </row>
    <row r="788" spans="1:11" x14ac:dyDescent="0.25">
      <c r="A788" s="2" t="s">
        <v>1594</v>
      </c>
      <c r="B788" s="5" t="s">
        <v>1595</v>
      </c>
      <c r="C788" s="2" t="s">
        <v>19</v>
      </c>
      <c r="D788" s="1" t="s">
        <v>11</v>
      </c>
      <c r="E788" s="7">
        <v>1</v>
      </c>
      <c r="F788" s="12">
        <v>130</v>
      </c>
      <c r="G788" s="7">
        <v>0</v>
      </c>
      <c r="H788" s="10">
        <v>130</v>
      </c>
      <c r="I788" s="3">
        <v>45194</v>
      </c>
      <c r="J788" s="3" t="s">
        <v>2507</v>
      </c>
      <c r="K788" s="8">
        <v>4</v>
      </c>
    </row>
    <row r="789" spans="1:11" x14ac:dyDescent="0.25">
      <c r="A789" s="2" t="s">
        <v>1596</v>
      </c>
      <c r="B789" s="5" t="s">
        <v>1597</v>
      </c>
      <c r="C789" s="2" t="s">
        <v>19</v>
      </c>
      <c r="D789" s="1" t="s">
        <v>11</v>
      </c>
      <c r="E789" s="7">
        <v>1</v>
      </c>
      <c r="F789" s="12">
        <v>130</v>
      </c>
      <c r="G789" s="7">
        <v>0</v>
      </c>
      <c r="H789" s="10">
        <v>130</v>
      </c>
      <c r="I789" s="3">
        <v>45195</v>
      </c>
      <c r="J789" s="3" t="s">
        <v>2509</v>
      </c>
      <c r="K789" s="8">
        <v>1</v>
      </c>
    </row>
    <row r="790" spans="1:11" x14ac:dyDescent="0.25">
      <c r="A790" s="2" t="s">
        <v>1598</v>
      </c>
      <c r="B790" s="5" t="s">
        <v>1599</v>
      </c>
      <c r="C790" s="2" t="s">
        <v>32</v>
      </c>
      <c r="D790" s="1" t="s">
        <v>11</v>
      </c>
      <c r="E790" s="7">
        <v>1</v>
      </c>
      <c r="F790" s="12">
        <v>135</v>
      </c>
      <c r="G790" s="7">
        <v>0</v>
      </c>
      <c r="H790" s="10">
        <v>135</v>
      </c>
      <c r="I790" s="3">
        <v>45195</v>
      </c>
      <c r="J790" s="3" t="s">
        <v>2510</v>
      </c>
      <c r="K790" s="8">
        <v>2</v>
      </c>
    </row>
    <row r="791" spans="1:11" x14ac:dyDescent="0.25">
      <c r="A791" s="2" t="s">
        <v>1600</v>
      </c>
      <c r="B791" s="5" t="s">
        <v>1601</v>
      </c>
      <c r="C791" s="2" t="s">
        <v>70</v>
      </c>
      <c r="D791" s="1" t="s">
        <v>11</v>
      </c>
      <c r="E791" s="7">
        <v>1</v>
      </c>
      <c r="F791" s="12">
        <v>125</v>
      </c>
      <c r="G791" s="7">
        <v>5</v>
      </c>
      <c r="H791" s="10">
        <v>120</v>
      </c>
      <c r="I791" s="3">
        <v>45195</v>
      </c>
      <c r="J791" s="3" t="s">
        <v>2511</v>
      </c>
      <c r="K791" s="8">
        <v>3</v>
      </c>
    </row>
    <row r="792" spans="1:11" x14ac:dyDescent="0.25">
      <c r="A792" s="2" t="s">
        <v>1602</v>
      </c>
      <c r="B792" s="5" t="s">
        <v>1603</v>
      </c>
      <c r="C792" s="2" t="s">
        <v>19</v>
      </c>
      <c r="D792" s="1" t="s">
        <v>11</v>
      </c>
      <c r="E792" s="7">
        <v>1</v>
      </c>
      <c r="F792" s="12">
        <v>130</v>
      </c>
      <c r="G792" s="7">
        <v>0</v>
      </c>
      <c r="H792" s="10">
        <v>130</v>
      </c>
      <c r="I792" s="3">
        <v>45195</v>
      </c>
      <c r="J792" s="3" t="s">
        <v>2509</v>
      </c>
      <c r="K792" s="8">
        <v>3</v>
      </c>
    </row>
    <row r="793" spans="1:11" x14ac:dyDescent="0.25">
      <c r="A793" s="2" t="s">
        <v>1604</v>
      </c>
      <c r="B793" s="5" t="s">
        <v>1605</v>
      </c>
      <c r="C793" s="2" t="s">
        <v>32</v>
      </c>
      <c r="D793" s="1" t="s">
        <v>11</v>
      </c>
      <c r="E793" s="7">
        <v>1</v>
      </c>
      <c r="F793" s="12">
        <v>135</v>
      </c>
      <c r="G793" s="7">
        <v>0</v>
      </c>
      <c r="H793" s="10">
        <v>135</v>
      </c>
      <c r="I793" s="3">
        <v>45195</v>
      </c>
      <c r="J793" s="3" t="s">
        <v>2510</v>
      </c>
      <c r="K793" s="8">
        <v>1</v>
      </c>
    </row>
    <row r="794" spans="1:11" x14ac:dyDescent="0.25">
      <c r="A794" s="2" t="s">
        <v>1606</v>
      </c>
      <c r="B794" s="5" t="s">
        <v>1607</v>
      </c>
      <c r="C794" s="2" t="s">
        <v>70</v>
      </c>
      <c r="D794" s="1" t="s">
        <v>11</v>
      </c>
      <c r="E794" s="7">
        <v>1</v>
      </c>
      <c r="F794" s="12">
        <v>125</v>
      </c>
      <c r="G794" s="7">
        <v>5</v>
      </c>
      <c r="H794" s="10">
        <v>120</v>
      </c>
      <c r="I794" s="3">
        <v>45195</v>
      </c>
      <c r="J794" s="3" t="s">
        <v>2511</v>
      </c>
      <c r="K794" s="8">
        <v>2</v>
      </c>
    </row>
    <row r="795" spans="1:11" x14ac:dyDescent="0.25">
      <c r="A795" s="2" t="s">
        <v>1608</v>
      </c>
      <c r="B795" s="5" t="s">
        <v>1609</v>
      </c>
      <c r="C795" s="2" t="s">
        <v>19</v>
      </c>
      <c r="D795" s="1" t="s">
        <v>11</v>
      </c>
      <c r="E795" s="7">
        <v>1</v>
      </c>
      <c r="F795" s="12">
        <v>130</v>
      </c>
      <c r="G795" s="7">
        <v>0</v>
      </c>
      <c r="H795" s="10">
        <v>130</v>
      </c>
      <c r="I795" s="3">
        <v>45195</v>
      </c>
      <c r="J795" s="3" t="s">
        <v>2509</v>
      </c>
      <c r="K795" s="8">
        <v>3</v>
      </c>
    </row>
    <row r="796" spans="1:11" x14ac:dyDescent="0.25">
      <c r="A796" s="2" t="s">
        <v>1610</v>
      </c>
      <c r="B796" s="5" t="s">
        <v>1611</v>
      </c>
      <c r="C796" s="2" t="s">
        <v>47</v>
      </c>
      <c r="D796" s="1" t="s">
        <v>11</v>
      </c>
      <c r="E796" s="7">
        <v>1</v>
      </c>
      <c r="F796" s="12">
        <v>190</v>
      </c>
      <c r="G796" s="7">
        <v>0</v>
      </c>
      <c r="H796" s="10">
        <v>190</v>
      </c>
      <c r="I796" s="3">
        <v>45196</v>
      </c>
      <c r="J796" s="3" t="s">
        <v>2513</v>
      </c>
      <c r="K796" s="8">
        <v>1</v>
      </c>
    </row>
    <row r="797" spans="1:11" x14ac:dyDescent="0.25">
      <c r="A797" s="2" t="s">
        <v>1612</v>
      </c>
      <c r="B797" s="5" t="s">
        <v>1613</v>
      </c>
      <c r="C797" s="2" t="s">
        <v>47</v>
      </c>
      <c r="D797" s="1" t="s">
        <v>11</v>
      </c>
      <c r="E797" s="7">
        <v>1</v>
      </c>
      <c r="F797" s="12">
        <v>190</v>
      </c>
      <c r="G797" s="7">
        <v>0</v>
      </c>
      <c r="H797" s="10">
        <v>190</v>
      </c>
      <c r="I797" s="3">
        <v>45196</v>
      </c>
      <c r="J797" s="3" t="s">
        <v>2513</v>
      </c>
      <c r="K797" s="8">
        <v>4</v>
      </c>
    </row>
    <row r="798" spans="1:11" x14ac:dyDescent="0.25">
      <c r="A798" s="2" t="s">
        <v>1614</v>
      </c>
      <c r="B798" s="5" t="s">
        <v>1615</v>
      </c>
      <c r="C798" s="2" t="s">
        <v>32</v>
      </c>
      <c r="D798" s="1" t="s">
        <v>11</v>
      </c>
      <c r="E798" s="7">
        <v>2</v>
      </c>
      <c r="F798" s="12">
        <v>135</v>
      </c>
      <c r="G798" s="7">
        <v>5</v>
      </c>
      <c r="H798" s="10">
        <v>265</v>
      </c>
      <c r="I798" s="3">
        <v>45197</v>
      </c>
      <c r="J798" s="3" t="s">
        <v>2515</v>
      </c>
      <c r="K798" s="8">
        <v>1</v>
      </c>
    </row>
    <row r="799" spans="1:11" x14ac:dyDescent="0.25">
      <c r="A799" s="2" t="s">
        <v>1616</v>
      </c>
      <c r="B799" s="5" t="s">
        <v>1617</v>
      </c>
      <c r="C799" s="2" t="s">
        <v>32</v>
      </c>
      <c r="D799" s="1" t="s">
        <v>11</v>
      </c>
      <c r="E799" s="7">
        <v>2</v>
      </c>
      <c r="F799" s="12">
        <v>135</v>
      </c>
      <c r="G799" s="7">
        <v>5</v>
      </c>
      <c r="H799" s="10">
        <v>265</v>
      </c>
      <c r="I799" s="3">
        <v>45197</v>
      </c>
      <c r="J799" s="3" t="s">
        <v>2515</v>
      </c>
      <c r="K799" s="8">
        <v>4</v>
      </c>
    </row>
    <row r="800" spans="1:11" x14ac:dyDescent="0.25">
      <c r="A800" s="2" t="s">
        <v>1618</v>
      </c>
      <c r="B800" s="5" t="s">
        <v>1619</v>
      </c>
      <c r="C800" s="2" t="s">
        <v>32</v>
      </c>
      <c r="D800" s="1" t="s">
        <v>11</v>
      </c>
      <c r="E800" s="7">
        <v>2</v>
      </c>
      <c r="F800" s="12">
        <v>135</v>
      </c>
      <c r="G800" s="7">
        <v>5</v>
      </c>
      <c r="H800" s="10">
        <v>265</v>
      </c>
      <c r="I800" s="3">
        <v>45197</v>
      </c>
      <c r="J800" s="3" t="s">
        <v>2515</v>
      </c>
      <c r="K800" s="8">
        <v>2</v>
      </c>
    </row>
    <row r="801" spans="1:11" x14ac:dyDescent="0.25">
      <c r="A801" s="2" t="s">
        <v>1620</v>
      </c>
      <c r="B801" s="5" t="s">
        <v>1621</v>
      </c>
      <c r="C801" s="2" t="s">
        <v>167</v>
      </c>
      <c r="D801" s="1" t="s">
        <v>11</v>
      </c>
      <c r="E801" s="7">
        <v>1</v>
      </c>
      <c r="F801" s="12">
        <v>210</v>
      </c>
      <c r="G801" s="7">
        <v>0</v>
      </c>
      <c r="H801" s="10">
        <v>210</v>
      </c>
      <c r="I801" s="3">
        <v>45198</v>
      </c>
      <c r="J801" s="3" t="s">
        <v>2509</v>
      </c>
      <c r="K801" s="8">
        <v>3</v>
      </c>
    </row>
    <row r="802" spans="1:11" x14ac:dyDescent="0.25">
      <c r="A802" s="2" t="s">
        <v>1622</v>
      </c>
      <c r="B802" s="5" t="s">
        <v>1623</v>
      </c>
      <c r="C802" s="2" t="s">
        <v>167</v>
      </c>
      <c r="D802" s="1" t="s">
        <v>11</v>
      </c>
      <c r="E802" s="7">
        <v>1</v>
      </c>
      <c r="F802" s="12">
        <v>210</v>
      </c>
      <c r="G802" s="7">
        <v>0</v>
      </c>
      <c r="H802" s="10">
        <v>210</v>
      </c>
      <c r="I802" s="3">
        <v>45198</v>
      </c>
      <c r="J802" s="3" t="s">
        <v>2509</v>
      </c>
      <c r="K802" s="8">
        <v>2</v>
      </c>
    </row>
    <row r="803" spans="1:11" x14ac:dyDescent="0.25">
      <c r="A803" s="2" t="s">
        <v>1624</v>
      </c>
      <c r="B803" s="5" t="s">
        <v>1625</v>
      </c>
      <c r="C803" s="2" t="s">
        <v>167</v>
      </c>
      <c r="D803" s="1" t="s">
        <v>11</v>
      </c>
      <c r="E803" s="7">
        <v>1</v>
      </c>
      <c r="F803" s="12">
        <v>210</v>
      </c>
      <c r="G803" s="7">
        <v>0</v>
      </c>
      <c r="H803" s="10">
        <v>210</v>
      </c>
      <c r="I803" s="3">
        <v>45198</v>
      </c>
      <c r="J803" s="3" t="s">
        <v>2509</v>
      </c>
      <c r="K803" s="8">
        <v>4</v>
      </c>
    </row>
    <row r="804" spans="1:11" x14ac:dyDescent="0.25">
      <c r="A804" s="2" t="s">
        <v>1626</v>
      </c>
      <c r="B804" s="5" t="s">
        <v>1627</v>
      </c>
      <c r="C804" s="2" t="s">
        <v>19</v>
      </c>
      <c r="D804" s="1" t="s">
        <v>11</v>
      </c>
      <c r="E804" s="7">
        <v>1</v>
      </c>
      <c r="F804" s="12">
        <v>130</v>
      </c>
      <c r="G804" s="7">
        <v>0</v>
      </c>
      <c r="H804" s="10">
        <v>130</v>
      </c>
      <c r="I804" s="3">
        <v>45199</v>
      </c>
      <c r="J804" s="3" t="s">
        <v>2515</v>
      </c>
      <c r="K804" s="8">
        <v>1</v>
      </c>
    </row>
    <row r="805" spans="1:11" x14ac:dyDescent="0.25">
      <c r="A805" s="2" t="s">
        <v>1628</v>
      </c>
      <c r="B805" s="5" t="s">
        <v>1629</v>
      </c>
      <c r="C805" s="2" t="s">
        <v>232</v>
      </c>
      <c r="D805" s="1" t="s">
        <v>137</v>
      </c>
      <c r="E805" s="7">
        <v>3</v>
      </c>
      <c r="F805" s="12">
        <v>200</v>
      </c>
      <c r="G805" s="7">
        <v>5</v>
      </c>
      <c r="H805" s="10">
        <v>595</v>
      </c>
      <c r="I805" s="3">
        <v>45199</v>
      </c>
      <c r="J805" s="3" t="s">
        <v>2509</v>
      </c>
      <c r="K805" s="8">
        <v>3</v>
      </c>
    </row>
    <row r="806" spans="1:11" x14ac:dyDescent="0.25">
      <c r="A806" s="2" t="s">
        <v>1630</v>
      </c>
      <c r="B806" s="5" t="s">
        <v>1631</v>
      </c>
      <c r="C806" s="2" t="s">
        <v>19</v>
      </c>
      <c r="D806" s="1" t="s">
        <v>11</v>
      </c>
      <c r="E806" s="7">
        <v>1</v>
      </c>
      <c r="F806" s="12">
        <v>130</v>
      </c>
      <c r="G806" s="7">
        <v>0</v>
      </c>
      <c r="H806" s="10">
        <v>130</v>
      </c>
      <c r="I806" s="3">
        <v>45199</v>
      </c>
      <c r="J806" s="3" t="s">
        <v>2515</v>
      </c>
      <c r="K806" s="8">
        <v>1</v>
      </c>
    </row>
    <row r="807" spans="1:11" x14ac:dyDescent="0.25">
      <c r="A807" s="2" t="s">
        <v>1632</v>
      </c>
      <c r="B807" s="5" t="s">
        <v>1633</v>
      </c>
      <c r="C807" s="2" t="s">
        <v>232</v>
      </c>
      <c r="D807" s="1" t="s">
        <v>137</v>
      </c>
      <c r="E807" s="7">
        <v>3</v>
      </c>
      <c r="F807" s="12">
        <v>200</v>
      </c>
      <c r="G807" s="7">
        <v>5</v>
      </c>
      <c r="H807" s="10">
        <v>595</v>
      </c>
      <c r="I807" s="3">
        <v>45199</v>
      </c>
      <c r="J807" s="3" t="s">
        <v>2509</v>
      </c>
      <c r="K807" s="8">
        <v>4</v>
      </c>
    </row>
    <row r="808" spans="1:11" x14ac:dyDescent="0.25">
      <c r="A808" s="2" t="s">
        <v>1634</v>
      </c>
      <c r="B808" s="5" t="s">
        <v>1635</v>
      </c>
      <c r="C808" s="2" t="s">
        <v>19</v>
      </c>
      <c r="D808" s="1" t="s">
        <v>11</v>
      </c>
      <c r="E808" s="7">
        <v>1</v>
      </c>
      <c r="F808" s="12">
        <v>130</v>
      </c>
      <c r="G808" s="7">
        <v>0</v>
      </c>
      <c r="H808" s="10">
        <v>130</v>
      </c>
      <c r="I808" s="3">
        <v>44936</v>
      </c>
      <c r="J808" s="3" t="s">
        <v>2509</v>
      </c>
      <c r="K808" s="8">
        <v>3</v>
      </c>
    </row>
    <row r="809" spans="1:11" x14ac:dyDescent="0.25">
      <c r="A809" s="2" t="s">
        <v>1636</v>
      </c>
      <c r="B809" s="5" t="s">
        <v>1637</v>
      </c>
      <c r="C809" s="2" t="s">
        <v>19</v>
      </c>
      <c r="D809" s="1" t="s">
        <v>11</v>
      </c>
      <c r="E809" s="7">
        <v>1</v>
      </c>
      <c r="F809" s="12">
        <v>130</v>
      </c>
      <c r="G809" s="7">
        <v>0</v>
      </c>
      <c r="H809" s="10">
        <v>130</v>
      </c>
      <c r="I809" s="3">
        <v>44936</v>
      </c>
      <c r="J809" s="3" t="s">
        <v>2509</v>
      </c>
      <c r="K809" s="8">
        <v>4</v>
      </c>
    </row>
    <row r="810" spans="1:11" x14ac:dyDescent="0.25">
      <c r="A810" s="2" t="s">
        <v>1638</v>
      </c>
      <c r="B810" s="5" t="s">
        <v>1639</v>
      </c>
      <c r="C810" s="2" t="s">
        <v>19</v>
      </c>
      <c r="D810" s="1" t="s">
        <v>11</v>
      </c>
      <c r="E810" s="7">
        <v>1</v>
      </c>
      <c r="F810" s="12">
        <v>130</v>
      </c>
      <c r="G810" s="7">
        <v>0</v>
      </c>
      <c r="H810" s="10">
        <v>130</v>
      </c>
      <c r="I810" s="3">
        <v>44936</v>
      </c>
      <c r="J810" s="3" t="s">
        <v>2509</v>
      </c>
      <c r="K810" s="8">
        <v>2</v>
      </c>
    </row>
    <row r="811" spans="1:11" x14ac:dyDescent="0.25">
      <c r="A811" s="2" t="s">
        <v>1640</v>
      </c>
      <c r="B811" s="5" t="s">
        <v>1641</v>
      </c>
      <c r="C811" s="2" t="s">
        <v>10</v>
      </c>
      <c r="D811" s="1" t="s">
        <v>11</v>
      </c>
      <c r="E811" s="7">
        <v>1</v>
      </c>
      <c r="F811" s="12">
        <v>160</v>
      </c>
      <c r="G811" s="7">
        <v>0</v>
      </c>
      <c r="H811" s="10">
        <v>160</v>
      </c>
      <c r="I811" s="3">
        <v>44967</v>
      </c>
      <c r="J811" s="3" t="s">
        <v>2515</v>
      </c>
      <c r="K811" s="8">
        <v>4</v>
      </c>
    </row>
    <row r="812" spans="1:11" x14ac:dyDescent="0.25">
      <c r="A812" s="2" t="s">
        <v>1642</v>
      </c>
      <c r="B812" s="5" t="s">
        <v>1643</v>
      </c>
      <c r="C812" s="2" t="s">
        <v>47</v>
      </c>
      <c r="D812" s="1" t="s">
        <v>11</v>
      </c>
      <c r="E812" s="7">
        <v>1</v>
      </c>
      <c r="F812" s="12">
        <v>190</v>
      </c>
      <c r="G812" s="7">
        <v>0</v>
      </c>
      <c r="H812" s="10">
        <v>190</v>
      </c>
      <c r="I812" s="3">
        <v>44967</v>
      </c>
      <c r="J812" s="3" t="s">
        <v>2518</v>
      </c>
      <c r="K812" s="8">
        <v>4</v>
      </c>
    </row>
    <row r="813" spans="1:11" x14ac:dyDescent="0.25">
      <c r="A813" s="2" t="s">
        <v>1644</v>
      </c>
      <c r="B813" s="5" t="s">
        <v>1645</v>
      </c>
      <c r="C813" s="2" t="s">
        <v>10</v>
      </c>
      <c r="D813" s="1" t="s">
        <v>11</v>
      </c>
      <c r="E813" s="7">
        <v>1</v>
      </c>
      <c r="F813" s="12">
        <v>160</v>
      </c>
      <c r="G813" s="7">
        <v>0</v>
      </c>
      <c r="H813" s="10">
        <v>160</v>
      </c>
      <c r="I813" s="3">
        <v>44967</v>
      </c>
      <c r="J813" s="3" t="s">
        <v>2515</v>
      </c>
      <c r="K813" s="8">
        <v>4</v>
      </c>
    </row>
    <row r="814" spans="1:11" x14ac:dyDescent="0.25">
      <c r="A814" s="2" t="s">
        <v>1646</v>
      </c>
      <c r="B814" s="5" t="s">
        <v>1647</v>
      </c>
      <c r="C814" s="2" t="s">
        <v>47</v>
      </c>
      <c r="D814" s="1" t="s">
        <v>11</v>
      </c>
      <c r="E814" s="7">
        <v>1</v>
      </c>
      <c r="F814" s="12">
        <v>190</v>
      </c>
      <c r="G814" s="7">
        <v>0</v>
      </c>
      <c r="H814" s="10">
        <v>190</v>
      </c>
      <c r="I814" s="3">
        <v>44967</v>
      </c>
      <c r="J814" s="3" t="s">
        <v>2518</v>
      </c>
      <c r="K814" s="8">
        <v>2</v>
      </c>
    </row>
    <row r="815" spans="1:11" x14ac:dyDescent="0.25">
      <c r="A815" s="2" t="s">
        <v>1648</v>
      </c>
      <c r="B815" s="5" t="s">
        <v>1649</v>
      </c>
      <c r="C815" s="2" t="s">
        <v>10</v>
      </c>
      <c r="D815" s="1" t="s">
        <v>11</v>
      </c>
      <c r="E815" s="7">
        <v>1</v>
      </c>
      <c r="F815" s="12">
        <v>160</v>
      </c>
      <c r="G815" s="7">
        <v>0</v>
      </c>
      <c r="H815" s="10">
        <v>160</v>
      </c>
      <c r="I815" s="3">
        <v>44967</v>
      </c>
      <c r="J815" s="3" t="s">
        <v>2515</v>
      </c>
      <c r="K815" s="8">
        <v>3</v>
      </c>
    </row>
    <row r="816" spans="1:11" x14ac:dyDescent="0.25">
      <c r="A816" s="2" t="s">
        <v>1650</v>
      </c>
      <c r="B816" s="5" t="s">
        <v>1651</v>
      </c>
      <c r="C816" s="2" t="s">
        <v>47</v>
      </c>
      <c r="D816" s="1" t="s">
        <v>11</v>
      </c>
      <c r="E816" s="7">
        <v>1</v>
      </c>
      <c r="F816" s="12">
        <v>190</v>
      </c>
      <c r="G816" s="7">
        <v>0</v>
      </c>
      <c r="H816" s="10">
        <v>190</v>
      </c>
      <c r="I816" s="3">
        <v>44967</v>
      </c>
      <c r="J816" s="3" t="s">
        <v>2518</v>
      </c>
      <c r="K816" s="8">
        <v>2</v>
      </c>
    </row>
    <row r="817" spans="1:11" x14ac:dyDescent="0.25">
      <c r="A817" s="2" t="s">
        <v>1652</v>
      </c>
      <c r="B817" s="5" t="s">
        <v>1653</v>
      </c>
      <c r="C817" s="2" t="s">
        <v>32</v>
      </c>
      <c r="D817" s="1" t="s">
        <v>11</v>
      </c>
      <c r="E817" s="7">
        <v>2</v>
      </c>
      <c r="F817" s="12">
        <v>135</v>
      </c>
      <c r="G817" s="7">
        <v>0</v>
      </c>
      <c r="H817" s="10">
        <v>270</v>
      </c>
      <c r="I817" s="3">
        <v>44995</v>
      </c>
      <c r="J817" s="3" t="s">
        <v>2518</v>
      </c>
      <c r="K817" s="8">
        <v>3</v>
      </c>
    </row>
    <row r="818" spans="1:11" x14ac:dyDescent="0.25">
      <c r="A818" s="2" t="s">
        <v>1654</v>
      </c>
      <c r="B818" s="5" t="s">
        <v>1655</v>
      </c>
      <c r="C818" s="2" t="s">
        <v>32</v>
      </c>
      <c r="D818" s="1" t="s">
        <v>11</v>
      </c>
      <c r="E818" s="7">
        <v>2</v>
      </c>
      <c r="F818" s="12">
        <v>135</v>
      </c>
      <c r="G818" s="7">
        <v>0</v>
      </c>
      <c r="H818" s="10">
        <v>270</v>
      </c>
      <c r="I818" s="3">
        <v>44995</v>
      </c>
      <c r="J818" s="3" t="s">
        <v>2518</v>
      </c>
      <c r="K818" s="8">
        <v>4</v>
      </c>
    </row>
    <row r="819" spans="1:11" x14ac:dyDescent="0.25">
      <c r="A819" s="2" t="s">
        <v>1656</v>
      </c>
      <c r="B819" s="5" t="s">
        <v>1657</v>
      </c>
      <c r="C819" s="2" t="s">
        <v>32</v>
      </c>
      <c r="D819" s="1" t="s">
        <v>11</v>
      </c>
      <c r="E819" s="7">
        <v>2</v>
      </c>
      <c r="F819" s="12">
        <v>135</v>
      </c>
      <c r="G819" s="7">
        <v>0</v>
      </c>
      <c r="H819" s="10">
        <v>270</v>
      </c>
      <c r="I819" s="3">
        <v>44995</v>
      </c>
      <c r="J819" s="3" t="s">
        <v>2518</v>
      </c>
      <c r="K819" s="8">
        <v>2</v>
      </c>
    </row>
    <row r="820" spans="1:11" x14ac:dyDescent="0.25">
      <c r="A820" s="2" t="s">
        <v>1658</v>
      </c>
      <c r="B820" s="5" t="s">
        <v>1659</v>
      </c>
      <c r="C820" s="2" t="s">
        <v>19</v>
      </c>
      <c r="D820" s="1" t="s">
        <v>11</v>
      </c>
      <c r="E820" s="7">
        <v>1</v>
      </c>
      <c r="F820" s="12">
        <v>130</v>
      </c>
      <c r="G820" s="7">
        <v>5</v>
      </c>
      <c r="H820" s="10">
        <v>125</v>
      </c>
      <c r="I820" s="3">
        <v>45026</v>
      </c>
      <c r="J820" s="3" t="s">
        <v>2518</v>
      </c>
      <c r="K820" s="8">
        <v>1</v>
      </c>
    </row>
    <row r="821" spans="1:11" x14ac:dyDescent="0.25">
      <c r="A821" s="2" t="s">
        <v>1660</v>
      </c>
      <c r="B821" s="5" t="s">
        <v>1661</v>
      </c>
      <c r="C821" s="2" t="s">
        <v>19</v>
      </c>
      <c r="D821" s="1" t="s">
        <v>11</v>
      </c>
      <c r="E821" s="7">
        <v>1</v>
      </c>
      <c r="F821" s="12">
        <v>130</v>
      </c>
      <c r="G821" s="7">
        <v>0</v>
      </c>
      <c r="H821" s="10">
        <v>130</v>
      </c>
      <c r="I821" s="3">
        <v>45026</v>
      </c>
      <c r="J821" s="3" t="s">
        <v>2519</v>
      </c>
      <c r="K821" s="8">
        <v>2</v>
      </c>
    </row>
    <row r="822" spans="1:11" x14ac:dyDescent="0.25">
      <c r="A822" s="2" t="s">
        <v>1662</v>
      </c>
      <c r="B822" s="5" t="s">
        <v>1663</v>
      </c>
      <c r="C822" s="2" t="s">
        <v>19</v>
      </c>
      <c r="D822" s="1" t="s">
        <v>11</v>
      </c>
      <c r="E822" s="7">
        <v>1</v>
      </c>
      <c r="F822" s="12">
        <v>130</v>
      </c>
      <c r="G822" s="7">
        <v>5</v>
      </c>
      <c r="H822" s="10">
        <v>125</v>
      </c>
      <c r="I822" s="3">
        <v>45026</v>
      </c>
      <c r="J822" s="3" t="s">
        <v>2518</v>
      </c>
      <c r="K822" s="8">
        <v>1</v>
      </c>
    </row>
    <row r="823" spans="1:11" x14ac:dyDescent="0.25">
      <c r="A823" s="2" t="s">
        <v>1664</v>
      </c>
      <c r="B823" s="5" t="s">
        <v>1665</v>
      </c>
      <c r="C823" s="2" t="s">
        <v>19</v>
      </c>
      <c r="D823" s="1" t="s">
        <v>11</v>
      </c>
      <c r="E823" s="7">
        <v>1</v>
      </c>
      <c r="F823" s="12">
        <v>130</v>
      </c>
      <c r="G823" s="7">
        <v>0</v>
      </c>
      <c r="H823" s="10">
        <v>130</v>
      </c>
      <c r="I823" s="3">
        <v>45026</v>
      </c>
      <c r="J823" s="3" t="s">
        <v>2519</v>
      </c>
      <c r="K823" s="8">
        <v>1</v>
      </c>
    </row>
    <row r="824" spans="1:11" x14ac:dyDescent="0.25">
      <c r="A824" s="2" t="s">
        <v>1666</v>
      </c>
      <c r="B824" s="5" t="s">
        <v>1667</v>
      </c>
      <c r="C824" s="2" t="s">
        <v>32</v>
      </c>
      <c r="D824" s="1" t="s">
        <v>11</v>
      </c>
      <c r="E824" s="7">
        <v>2</v>
      </c>
      <c r="F824" s="12">
        <v>135</v>
      </c>
      <c r="G824" s="7">
        <v>0</v>
      </c>
      <c r="H824" s="10">
        <v>270</v>
      </c>
      <c r="I824" s="3">
        <v>45087</v>
      </c>
      <c r="J824" s="3" t="s">
        <v>2520</v>
      </c>
      <c r="K824" s="8">
        <v>4</v>
      </c>
    </row>
    <row r="825" spans="1:11" x14ac:dyDescent="0.25">
      <c r="A825" s="2" t="s">
        <v>1668</v>
      </c>
      <c r="B825" s="5" t="s">
        <v>1669</v>
      </c>
      <c r="C825" s="2" t="s">
        <v>93</v>
      </c>
      <c r="D825" s="1" t="s">
        <v>11</v>
      </c>
      <c r="E825" s="7">
        <v>1</v>
      </c>
      <c r="F825" s="12">
        <v>85</v>
      </c>
      <c r="G825" s="7">
        <v>0</v>
      </c>
      <c r="H825" s="10">
        <v>85</v>
      </c>
      <c r="I825" s="3">
        <v>45087</v>
      </c>
      <c r="J825" s="3" t="s">
        <v>2519</v>
      </c>
      <c r="K825" s="8">
        <v>3</v>
      </c>
    </row>
    <row r="826" spans="1:11" x14ac:dyDescent="0.25">
      <c r="A826" s="2" t="s">
        <v>1670</v>
      </c>
      <c r="B826" s="5" t="s">
        <v>1671</v>
      </c>
      <c r="C826" s="2" t="s">
        <v>32</v>
      </c>
      <c r="D826" s="1" t="s">
        <v>11</v>
      </c>
      <c r="E826" s="7">
        <v>2</v>
      </c>
      <c r="F826" s="12">
        <v>135</v>
      </c>
      <c r="G826" s="7">
        <v>0</v>
      </c>
      <c r="H826" s="10">
        <v>270</v>
      </c>
      <c r="I826" s="3">
        <v>45087</v>
      </c>
      <c r="J826" s="3" t="s">
        <v>2520</v>
      </c>
      <c r="K826" s="8">
        <v>4</v>
      </c>
    </row>
    <row r="827" spans="1:11" x14ac:dyDescent="0.25">
      <c r="A827" s="2" t="s">
        <v>1672</v>
      </c>
      <c r="B827" s="5" t="s">
        <v>1673</v>
      </c>
      <c r="C827" s="2" t="s">
        <v>93</v>
      </c>
      <c r="D827" s="1" t="s">
        <v>11</v>
      </c>
      <c r="E827" s="7">
        <v>1</v>
      </c>
      <c r="F827" s="12">
        <v>85</v>
      </c>
      <c r="G827" s="7">
        <v>0</v>
      </c>
      <c r="H827" s="10">
        <v>85</v>
      </c>
      <c r="I827" s="3">
        <v>45087</v>
      </c>
      <c r="J827" s="3" t="s">
        <v>2519</v>
      </c>
      <c r="K827" s="8">
        <v>2</v>
      </c>
    </row>
    <row r="828" spans="1:11" x14ac:dyDescent="0.25">
      <c r="A828" s="2" t="s">
        <v>1674</v>
      </c>
      <c r="B828" s="5" t="s">
        <v>1675</v>
      </c>
      <c r="C828" s="2" t="s">
        <v>32</v>
      </c>
      <c r="D828" s="1" t="s">
        <v>11</v>
      </c>
      <c r="E828" s="7">
        <v>2</v>
      </c>
      <c r="F828" s="12">
        <v>135</v>
      </c>
      <c r="G828" s="7">
        <v>0</v>
      </c>
      <c r="H828" s="10">
        <v>270</v>
      </c>
      <c r="I828" s="3">
        <v>45087</v>
      </c>
      <c r="J828" s="3" t="s">
        <v>2520</v>
      </c>
      <c r="K828" s="8">
        <v>4</v>
      </c>
    </row>
    <row r="829" spans="1:11" x14ac:dyDescent="0.25">
      <c r="A829" s="2" t="s">
        <v>1676</v>
      </c>
      <c r="B829" s="5" t="s">
        <v>1677</v>
      </c>
      <c r="C829" s="2" t="s">
        <v>232</v>
      </c>
      <c r="D829" s="1" t="s">
        <v>137</v>
      </c>
      <c r="E829" s="7">
        <v>2</v>
      </c>
      <c r="F829" s="12">
        <v>200</v>
      </c>
      <c r="G829" s="7">
        <v>0</v>
      </c>
      <c r="H829" s="10">
        <v>400</v>
      </c>
      <c r="I829" s="3">
        <v>45148</v>
      </c>
      <c r="J829" s="3" t="s">
        <v>2521</v>
      </c>
      <c r="K829" s="8">
        <v>4</v>
      </c>
    </row>
    <row r="830" spans="1:11" x14ac:dyDescent="0.25">
      <c r="A830" s="2" t="s">
        <v>1678</v>
      </c>
      <c r="B830" s="5" t="s">
        <v>1679</v>
      </c>
      <c r="C830" s="2" t="s">
        <v>232</v>
      </c>
      <c r="D830" s="1" t="s">
        <v>137</v>
      </c>
      <c r="E830" s="7">
        <v>2</v>
      </c>
      <c r="F830" s="12">
        <v>200</v>
      </c>
      <c r="G830" s="7">
        <v>0</v>
      </c>
      <c r="H830" s="10">
        <v>400</v>
      </c>
      <c r="I830" s="3">
        <v>45148</v>
      </c>
      <c r="J830" s="3" t="s">
        <v>2521</v>
      </c>
      <c r="K830" s="8">
        <v>3</v>
      </c>
    </row>
    <row r="831" spans="1:11" x14ac:dyDescent="0.25">
      <c r="A831" s="2" t="s">
        <v>1680</v>
      </c>
      <c r="B831" s="5" t="s">
        <v>1681</v>
      </c>
      <c r="C831" s="2" t="s">
        <v>32</v>
      </c>
      <c r="D831" s="1" t="s">
        <v>11</v>
      </c>
      <c r="E831" s="7">
        <v>1</v>
      </c>
      <c r="F831" s="12">
        <v>135</v>
      </c>
      <c r="G831" s="7">
        <v>0</v>
      </c>
      <c r="H831" s="10">
        <v>135</v>
      </c>
      <c r="I831" s="3">
        <v>45240</v>
      </c>
      <c r="J831" s="3" t="s">
        <v>2522</v>
      </c>
      <c r="K831" s="8">
        <v>1</v>
      </c>
    </row>
    <row r="832" spans="1:11" x14ac:dyDescent="0.25">
      <c r="A832" s="2" t="s">
        <v>1682</v>
      </c>
      <c r="B832" s="5" t="s">
        <v>1683</v>
      </c>
      <c r="C832" s="2" t="s">
        <v>32</v>
      </c>
      <c r="D832" s="1" t="s">
        <v>11</v>
      </c>
      <c r="E832" s="7">
        <v>1</v>
      </c>
      <c r="F832" s="12">
        <v>135</v>
      </c>
      <c r="G832" s="7">
        <v>0</v>
      </c>
      <c r="H832" s="10">
        <v>135</v>
      </c>
      <c r="I832" s="3">
        <v>45240</v>
      </c>
      <c r="J832" s="3" t="s">
        <v>2522</v>
      </c>
      <c r="K832" s="8">
        <v>1</v>
      </c>
    </row>
    <row r="833" spans="1:11" x14ac:dyDescent="0.25">
      <c r="A833" s="2" t="s">
        <v>1684</v>
      </c>
      <c r="B833" s="5" t="s">
        <v>1685</v>
      </c>
      <c r="C833" s="2" t="s">
        <v>32</v>
      </c>
      <c r="D833" s="1" t="s">
        <v>11</v>
      </c>
      <c r="E833" s="7">
        <v>1</v>
      </c>
      <c r="F833" s="12">
        <v>135</v>
      </c>
      <c r="G833" s="7">
        <v>5</v>
      </c>
      <c r="H833" s="10">
        <v>130</v>
      </c>
      <c r="I833" s="3">
        <v>45212</v>
      </c>
      <c r="J833" s="3" t="s">
        <v>2524</v>
      </c>
      <c r="K833" s="8">
        <v>4</v>
      </c>
    </row>
    <row r="834" spans="1:11" x14ac:dyDescent="0.25">
      <c r="A834" s="2" t="s">
        <v>1686</v>
      </c>
      <c r="B834" s="5" t="s">
        <v>1687</v>
      </c>
      <c r="C834" s="2" t="s">
        <v>32</v>
      </c>
      <c r="D834" s="1" t="s">
        <v>11</v>
      </c>
      <c r="E834" s="7">
        <v>1</v>
      </c>
      <c r="F834" s="12">
        <v>135</v>
      </c>
      <c r="G834" s="7">
        <v>5</v>
      </c>
      <c r="H834" s="10">
        <v>130</v>
      </c>
      <c r="I834" s="3">
        <v>45212</v>
      </c>
      <c r="J834" s="3" t="s">
        <v>2524</v>
      </c>
      <c r="K834" s="8">
        <v>2</v>
      </c>
    </row>
    <row r="835" spans="1:11" x14ac:dyDescent="0.25">
      <c r="A835" s="2" t="s">
        <v>1688</v>
      </c>
      <c r="B835" s="5" t="s">
        <v>1689</v>
      </c>
      <c r="C835" s="2" t="s">
        <v>32</v>
      </c>
      <c r="D835" s="1" t="s">
        <v>11</v>
      </c>
      <c r="E835" s="7">
        <v>1</v>
      </c>
      <c r="F835" s="12">
        <v>135</v>
      </c>
      <c r="G835" s="7">
        <v>5</v>
      </c>
      <c r="H835" s="10">
        <v>130</v>
      </c>
      <c r="I835" s="3">
        <v>45212</v>
      </c>
      <c r="J835" s="3" t="s">
        <v>2524</v>
      </c>
      <c r="K835" s="8">
        <v>4</v>
      </c>
    </row>
    <row r="836" spans="1:11" x14ac:dyDescent="0.25">
      <c r="A836" s="2" t="s">
        <v>1690</v>
      </c>
      <c r="B836" s="5" t="s">
        <v>1691</v>
      </c>
      <c r="C836" s="2" t="s">
        <v>232</v>
      </c>
      <c r="D836" s="1" t="s">
        <v>137</v>
      </c>
      <c r="E836" s="7">
        <v>1</v>
      </c>
      <c r="F836" s="12">
        <v>200</v>
      </c>
      <c r="G836" s="7">
        <v>10</v>
      </c>
      <c r="H836" s="10">
        <v>190</v>
      </c>
      <c r="I836" s="3">
        <v>45213</v>
      </c>
      <c r="J836" s="3" t="s">
        <v>2524</v>
      </c>
      <c r="K836" s="8">
        <v>2</v>
      </c>
    </row>
    <row r="837" spans="1:11" x14ac:dyDescent="0.25">
      <c r="A837" s="2" t="s">
        <v>1692</v>
      </c>
      <c r="B837" s="5" t="s">
        <v>1693</v>
      </c>
      <c r="C837" s="2" t="s">
        <v>232</v>
      </c>
      <c r="D837" s="1" t="s">
        <v>137</v>
      </c>
      <c r="E837" s="7">
        <v>1</v>
      </c>
      <c r="F837" s="12">
        <v>200</v>
      </c>
      <c r="G837" s="7">
        <v>10</v>
      </c>
      <c r="H837" s="10">
        <v>190</v>
      </c>
      <c r="I837" s="3">
        <v>45213</v>
      </c>
      <c r="J837" s="3" t="s">
        <v>2524</v>
      </c>
      <c r="K837" s="8">
        <v>3</v>
      </c>
    </row>
    <row r="838" spans="1:11" x14ac:dyDescent="0.25">
      <c r="A838" s="2" t="s">
        <v>1694</v>
      </c>
      <c r="B838" s="5" t="s">
        <v>1695</v>
      </c>
      <c r="C838" s="2" t="s">
        <v>32</v>
      </c>
      <c r="D838" s="1" t="s">
        <v>11</v>
      </c>
      <c r="E838" s="7">
        <v>2</v>
      </c>
      <c r="F838" s="12">
        <v>135</v>
      </c>
      <c r="G838" s="7">
        <v>0</v>
      </c>
      <c r="H838" s="10">
        <v>270</v>
      </c>
      <c r="I838" s="3">
        <v>45214</v>
      </c>
      <c r="J838" s="3" t="s">
        <v>2527</v>
      </c>
      <c r="K838" s="8">
        <v>2</v>
      </c>
    </row>
    <row r="839" spans="1:11" x14ac:dyDescent="0.25">
      <c r="A839" s="2" t="s">
        <v>1696</v>
      </c>
      <c r="B839" s="5" t="s">
        <v>1697</v>
      </c>
      <c r="C839" s="2" t="s">
        <v>19</v>
      </c>
      <c r="D839" s="1" t="s">
        <v>11</v>
      </c>
      <c r="E839" s="7">
        <v>3</v>
      </c>
      <c r="F839" s="12">
        <v>130</v>
      </c>
      <c r="G839" s="7">
        <v>0</v>
      </c>
      <c r="H839" s="10">
        <v>390</v>
      </c>
      <c r="I839" s="3">
        <v>45214</v>
      </c>
      <c r="J839" s="3" t="s">
        <v>2527</v>
      </c>
      <c r="K839" s="8">
        <v>1</v>
      </c>
    </row>
    <row r="840" spans="1:11" x14ac:dyDescent="0.25">
      <c r="A840" s="2" t="s">
        <v>1698</v>
      </c>
      <c r="B840" s="5" t="s">
        <v>1699</v>
      </c>
      <c r="C840" s="2" t="s">
        <v>32</v>
      </c>
      <c r="D840" s="1" t="s">
        <v>11</v>
      </c>
      <c r="E840" s="7">
        <v>2</v>
      </c>
      <c r="F840" s="12">
        <v>135</v>
      </c>
      <c r="G840" s="7">
        <v>0</v>
      </c>
      <c r="H840" s="10">
        <v>270</v>
      </c>
      <c r="I840" s="3">
        <v>45214</v>
      </c>
      <c r="J840" s="3" t="s">
        <v>2527</v>
      </c>
      <c r="K840" s="8">
        <v>4</v>
      </c>
    </row>
    <row r="841" spans="1:11" x14ac:dyDescent="0.25">
      <c r="A841" s="2" t="s">
        <v>1700</v>
      </c>
      <c r="B841" s="5" t="s">
        <v>1701</v>
      </c>
      <c r="C841" s="2" t="s">
        <v>19</v>
      </c>
      <c r="D841" s="1" t="s">
        <v>11</v>
      </c>
      <c r="E841" s="7">
        <v>3</v>
      </c>
      <c r="F841" s="12">
        <v>130</v>
      </c>
      <c r="G841" s="7">
        <v>0</v>
      </c>
      <c r="H841" s="10">
        <v>390</v>
      </c>
      <c r="I841" s="3">
        <v>45214</v>
      </c>
      <c r="J841" s="3" t="s">
        <v>2527</v>
      </c>
      <c r="K841" s="8">
        <v>4</v>
      </c>
    </row>
    <row r="842" spans="1:11" x14ac:dyDescent="0.25">
      <c r="A842" s="2" t="s">
        <v>1702</v>
      </c>
      <c r="B842" s="5" t="s">
        <v>1703</v>
      </c>
      <c r="C842" s="2" t="s">
        <v>19</v>
      </c>
      <c r="D842" s="1" t="s">
        <v>11</v>
      </c>
      <c r="E842" s="7">
        <v>3</v>
      </c>
      <c r="F842" s="12">
        <v>130</v>
      </c>
      <c r="G842" s="7">
        <v>0</v>
      </c>
      <c r="H842" s="10">
        <v>390</v>
      </c>
      <c r="I842" s="3">
        <v>45214</v>
      </c>
      <c r="J842" s="3" t="s">
        <v>2527</v>
      </c>
      <c r="K842" s="8">
        <v>4</v>
      </c>
    </row>
    <row r="843" spans="1:11" x14ac:dyDescent="0.25">
      <c r="A843" s="2" t="s">
        <v>1704</v>
      </c>
      <c r="B843" s="5" t="s">
        <v>1705</v>
      </c>
      <c r="C843" s="2" t="s">
        <v>93</v>
      </c>
      <c r="D843" s="1" t="s">
        <v>11</v>
      </c>
      <c r="E843" s="7">
        <v>1</v>
      </c>
      <c r="F843" s="12">
        <v>85</v>
      </c>
      <c r="G843" s="7">
        <v>10</v>
      </c>
      <c r="H843" s="10">
        <v>75</v>
      </c>
      <c r="I843" s="3">
        <v>45215</v>
      </c>
      <c r="J843" s="3" t="s">
        <v>2529</v>
      </c>
      <c r="K843" s="8">
        <v>2</v>
      </c>
    </row>
    <row r="844" spans="1:11" x14ac:dyDescent="0.25">
      <c r="A844" s="2" t="s">
        <v>1706</v>
      </c>
      <c r="B844" s="5" t="s">
        <v>1707</v>
      </c>
      <c r="C844" s="2" t="s">
        <v>93</v>
      </c>
      <c r="D844" s="1" t="s">
        <v>11</v>
      </c>
      <c r="E844" s="7">
        <v>1</v>
      </c>
      <c r="F844" s="12">
        <v>85</v>
      </c>
      <c r="G844" s="7">
        <v>10</v>
      </c>
      <c r="H844" s="10">
        <v>75</v>
      </c>
      <c r="I844" s="3">
        <v>45215</v>
      </c>
      <c r="J844" s="3" t="s">
        <v>2529</v>
      </c>
      <c r="K844" s="8">
        <v>3</v>
      </c>
    </row>
    <row r="845" spans="1:11" x14ac:dyDescent="0.25">
      <c r="A845" s="2" t="s">
        <v>1708</v>
      </c>
      <c r="B845" s="5" t="s">
        <v>1709</v>
      </c>
      <c r="C845" s="2" t="s">
        <v>47</v>
      </c>
      <c r="D845" s="1" t="s">
        <v>11</v>
      </c>
      <c r="E845" s="7">
        <v>1</v>
      </c>
      <c r="F845" s="12">
        <v>190</v>
      </c>
      <c r="G845" s="7">
        <v>0</v>
      </c>
      <c r="H845" s="10">
        <v>190</v>
      </c>
      <c r="I845" s="3">
        <v>45216</v>
      </c>
      <c r="J845" s="3" t="s">
        <v>2529</v>
      </c>
      <c r="K845" s="8">
        <v>2</v>
      </c>
    </row>
    <row r="846" spans="1:11" x14ac:dyDescent="0.25">
      <c r="A846" s="2" t="s">
        <v>1710</v>
      </c>
      <c r="B846" s="5" t="s">
        <v>1711</v>
      </c>
      <c r="C846" s="2" t="s">
        <v>47</v>
      </c>
      <c r="D846" s="1" t="s">
        <v>11</v>
      </c>
      <c r="E846" s="7">
        <v>1</v>
      </c>
      <c r="F846" s="12">
        <v>190</v>
      </c>
      <c r="G846" s="7">
        <v>0</v>
      </c>
      <c r="H846" s="10">
        <v>190</v>
      </c>
      <c r="I846" s="3">
        <v>45216</v>
      </c>
      <c r="J846" s="3" t="s">
        <v>2529</v>
      </c>
      <c r="K846" s="8">
        <v>1</v>
      </c>
    </row>
    <row r="847" spans="1:11" x14ac:dyDescent="0.25">
      <c r="A847" s="2" t="s">
        <v>1712</v>
      </c>
      <c r="B847" s="5" t="s">
        <v>1713</v>
      </c>
      <c r="C847" s="2" t="s">
        <v>70</v>
      </c>
      <c r="D847" s="1" t="s">
        <v>11</v>
      </c>
      <c r="E847" s="7">
        <v>1</v>
      </c>
      <c r="F847" s="12">
        <v>125</v>
      </c>
      <c r="G847" s="7">
        <v>0</v>
      </c>
      <c r="H847" s="10">
        <v>125</v>
      </c>
      <c r="I847" s="3">
        <v>45217</v>
      </c>
      <c r="J847" s="3" t="s">
        <v>2532</v>
      </c>
      <c r="K847" s="8">
        <v>3</v>
      </c>
    </row>
    <row r="848" spans="1:11" x14ac:dyDescent="0.25">
      <c r="A848" s="2" t="s">
        <v>1714</v>
      </c>
      <c r="B848" s="5" t="s">
        <v>1715</v>
      </c>
      <c r="C848" s="2" t="s">
        <v>70</v>
      </c>
      <c r="D848" s="1" t="s">
        <v>11</v>
      </c>
      <c r="E848" s="7">
        <v>1</v>
      </c>
      <c r="F848" s="12">
        <v>125</v>
      </c>
      <c r="G848" s="7">
        <v>0</v>
      </c>
      <c r="H848" s="10">
        <v>125</v>
      </c>
      <c r="I848" s="3">
        <v>45217</v>
      </c>
      <c r="J848" s="3" t="s">
        <v>2532</v>
      </c>
      <c r="K848" s="8">
        <v>4</v>
      </c>
    </row>
    <row r="849" spans="1:11" x14ac:dyDescent="0.25">
      <c r="A849" s="2" t="s">
        <v>1716</v>
      </c>
      <c r="B849" s="5" t="s">
        <v>1717</v>
      </c>
      <c r="C849" s="2" t="s">
        <v>70</v>
      </c>
      <c r="D849" s="1" t="s">
        <v>11</v>
      </c>
      <c r="E849" s="7">
        <v>1</v>
      </c>
      <c r="F849" s="12">
        <v>125</v>
      </c>
      <c r="G849" s="7">
        <v>0</v>
      </c>
      <c r="H849" s="10">
        <v>125</v>
      </c>
      <c r="I849" s="3">
        <v>45217</v>
      </c>
      <c r="J849" s="3" t="s">
        <v>2532</v>
      </c>
      <c r="K849" s="8">
        <v>1</v>
      </c>
    </row>
    <row r="850" spans="1:11" x14ac:dyDescent="0.25">
      <c r="A850" s="2" t="s">
        <v>1718</v>
      </c>
      <c r="B850" s="5" t="s">
        <v>1719</v>
      </c>
      <c r="C850" s="2" t="s">
        <v>19</v>
      </c>
      <c r="D850" s="1" t="s">
        <v>11</v>
      </c>
      <c r="E850" s="7">
        <v>1</v>
      </c>
      <c r="F850" s="12">
        <v>130</v>
      </c>
      <c r="G850" s="7">
        <v>0</v>
      </c>
      <c r="H850" s="10">
        <v>130</v>
      </c>
      <c r="I850" s="3">
        <v>45218</v>
      </c>
      <c r="J850" s="3" t="s">
        <v>2534</v>
      </c>
      <c r="K850" s="8">
        <v>2</v>
      </c>
    </row>
    <row r="851" spans="1:11" x14ac:dyDescent="0.25">
      <c r="A851" s="2" t="s">
        <v>1720</v>
      </c>
      <c r="B851" s="5" t="s">
        <v>1721</v>
      </c>
      <c r="C851" s="2" t="s">
        <v>19</v>
      </c>
      <c r="D851" s="1" t="s">
        <v>11</v>
      </c>
      <c r="E851" s="7">
        <v>1</v>
      </c>
      <c r="F851" s="12">
        <v>130</v>
      </c>
      <c r="G851" s="7">
        <v>5</v>
      </c>
      <c r="H851" s="10">
        <v>125</v>
      </c>
      <c r="I851" s="3">
        <v>45218</v>
      </c>
      <c r="J851" s="3" t="s">
        <v>2532</v>
      </c>
      <c r="K851" s="8">
        <v>3</v>
      </c>
    </row>
    <row r="852" spans="1:11" x14ac:dyDescent="0.25">
      <c r="A852" s="2" t="s">
        <v>1722</v>
      </c>
      <c r="B852" s="5" t="s">
        <v>1723</v>
      </c>
      <c r="C852" s="2" t="s">
        <v>19</v>
      </c>
      <c r="D852" s="1" t="s">
        <v>11</v>
      </c>
      <c r="E852" s="7">
        <v>1</v>
      </c>
      <c r="F852" s="12">
        <v>130</v>
      </c>
      <c r="G852" s="7">
        <v>0</v>
      </c>
      <c r="H852" s="10">
        <v>130</v>
      </c>
      <c r="I852" s="3">
        <v>45218</v>
      </c>
      <c r="J852" s="3" t="s">
        <v>2534</v>
      </c>
      <c r="K852" s="8">
        <v>4</v>
      </c>
    </row>
    <row r="853" spans="1:11" x14ac:dyDescent="0.25">
      <c r="A853" s="2" t="s">
        <v>1724</v>
      </c>
      <c r="B853" s="5" t="s">
        <v>1725</v>
      </c>
      <c r="C853" s="2" t="s">
        <v>19</v>
      </c>
      <c r="D853" s="1" t="s">
        <v>11</v>
      </c>
      <c r="E853" s="7">
        <v>1</v>
      </c>
      <c r="F853" s="12">
        <v>130</v>
      </c>
      <c r="G853" s="7">
        <v>5</v>
      </c>
      <c r="H853" s="10">
        <v>125</v>
      </c>
      <c r="I853" s="3">
        <v>45218</v>
      </c>
      <c r="J853" s="3" t="s">
        <v>2532</v>
      </c>
      <c r="K853" s="8">
        <v>1</v>
      </c>
    </row>
    <row r="854" spans="1:11" x14ac:dyDescent="0.25">
      <c r="A854" s="2" t="s">
        <v>1726</v>
      </c>
      <c r="B854" s="5" t="s">
        <v>1727</v>
      </c>
      <c r="C854" s="2" t="s">
        <v>19</v>
      </c>
      <c r="D854" s="1" t="s">
        <v>11</v>
      </c>
      <c r="E854" s="7">
        <v>1</v>
      </c>
      <c r="F854" s="12">
        <v>130</v>
      </c>
      <c r="G854" s="7">
        <v>0</v>
      </c>
      <c r="H854" s="10">
        <v>130</v>
      </c>
      <c r="I854" s="3">
        <v>45219</v>
      </c>
      <c r="J854" s="3" t="s">
        <v>2536</v>
      </c>
      <c r="K854" s="8">
        <v>4</v>
      </c>
    </row>
    <row r="855" spans="1:11" x14ac:dyDescent="0.25">
      <c r="A855" s="2" t="s">
        <v>1728</v>
      </c>
      <c r="B855" s="5" t="s">
        <v>1729</v>
      </c>
      <c r="C855" s="2" t="s">
        <v>19</v>
      </c>
      <c r="D855" s="1" t="s">
        <v>11</v>
      </c>
      <c r="E855" s="7">
        <v>1</v>
      </c>
      <c r="F855" s="12">
        <v>130</v>
      </c>
      <c r="G855" s="7">
        <v>5</v>
      </c>
      <c r="H855" s="10">
        <v>125</v>
      </c>
      <c r="I855" s="3">
        <v>45219</v>
      </c>
      <c r="J855" s="3" t="s">
        <v>2537</v>
      </c>
      <c r="K855" s="8">
        <v>1</v>
      </c>
    </row>
    <row r="856" spans="1:11" x14ac:dyDescent="0.25">
      <c r="A856" s="2" t="s">
        <v>1730</v>
      </c>
      <c r="B856" s="5" t="s">
        <v>1731</v>
      </c>
      <c r="C856" s="2" t="s">
        <v>19</v>
      </c>
      <c r="D856" s="1" t="s">
        <v>11</v>
      </c>
      <c r="E856" s="7">
        <v>1</v>
      </c>
      <c r="F856" s="12">
        <v>130</v>
      </c>
      <c r="G856" s="7">
        <v>10</v>
      </c>
      <c r="H856" s="10">
        <v>120</v>
      </c>
      <c r="I856" s="3">
        <v>45219</v>
      </c>
      <c r="J856" s="3" t="s">
        <v>2538</v>
      </c>
      <c r="K856" s="8">
        <v>2</v>
      </c>
    </row>
    <row r="857" spans="1:11" x14ac:dyDescent="0.25">
      <c r="A857" s="2" t="s">
        <v>1732</v>
      </c>
      <c r="B857" s="5" t="s">
        <v>1733</v>
      </c>
      <c r="C857" s="2" t="s">
        <v>19</v>
      </c>
      <c r="D857" s="1" t="s">
        <v>11</v>
      </c>
      <c r="E857" s="7">
        <v>1</v>
      </c>
      <c r="F857" s="12">
        <v>130</v>
      </c>
      <c r="G857" s="7">
        <v>0</v>
      </c>
      <c r="H857" s="10">
        <v>130</v>
      </c>
      <c r="I857" s="3">
        <v>45219</v>
      </c>
      <c r="J857" s="3" t="s">
        <v>2536</v>
      </c>
      <c r="K857" s="8">
        <v>1</v>
      </c>
    </row>
    <row r="858" spans="1:11" x14ac:dyDescent="0.25">
      <c r="A858" s="2" t="s">
        <v>1734</v>
      </c>
      <c r="B858" s="5" t="s">
        <v>1735</v>
      </c>
      <c r="C858" s="2" t="s">
        <v>19</v>
      </c>
      <c r="D858" s="1" t="s">
        <v>11</v>
      </c>
      <c r="E858" s="7">
        <v>1</v>
      </c>
      <c r="F858" s="12">
        <v>130</v>
      </c>
      <c r="G858" s="7">
        <v>5</v>
      </c>
      <c r="H858" s="10">
        <v>125</v>
      </c>
      <c r="I858" s="3">
        <v>45219</v>
      </c>
      <c r="J858" s="3" t="s">
        <v>2537</v>
      </c>
      <c r="K858" s="8">
        <v>2</v>
      </c>
    </row>
    <row r="859" spans="1:11" x14ac:dyDescent="0.25">
      <c r="A859" s="2" t="s">
        <v>1736</v>
      </c>
      <c r="B859" s="5" t="s">
        <v>1737</v>
      </c>
      <c r="C859" s="2" t="s">
        <v>19</v>
      </c>
      <c r="D859" s="1" t="s">
        <v>11</v>
      </c>
      <c r="E859" s="7">
        <v>1</v>
      </c>
      <c r="F859" s="12">
        <v>130</v>
      </c>
      <c r="G859" s="7">
        <v>10</v>
      </c>
      <c r="H859" s="10">
        <v>120</v>
      </c>
      <c r="I859" s="3">
        <v>45219</v>
      </c>
      <c r="J859" s="3" t="s">
        <v>2538</v>
      </c>
      <c r="K859" s="8">
        <v>1</v>
      </c>
    </row>
    <row r="860" spans="1:11" x14ac:dyDescent="0.25">
      <c r="A860" s="2" t="s">
        <v>1738</v>
      </c>
      <c r="B860" s="5" t="s">
        <v>1739</v>
      </c>
      <c r="C860" s="2" t="s">
        <v>19</v>
      </c>
      <c r="D860" s="1" t="s">
        <v>11</v>
      </c>
      <c r="E860" s="7">
        <v>1</v>
      </c>
      <c r="F860" s="12">
        <v>130</v>
      </c>
      <c r="G860" s="7">
        <v>10</v>
      </c>
      <c r="H860" s="10">
        <v>120</v>
      </c>
      <c r="I860" s="3">
        <v>45219</v>
      </c>
      <c r="J860" s="3" t="s">
        <v>2538</v>
      </c>
      <c r="K860" s="8">
        <v>1</v>
      </c>
    </row>
    <row r="861" spans="1:11" x14ac:dyDescent="0.25">
      <c r="A861" s="2" t="s">
        <v>1740</v>
      </c>
      <c r="B861" s="5" t="s">
        <v>1741</v>
      </c>
      <c r="C861" s="2" t="s">
        <v>47</v>
      </c>
      <c r="D861" s="1" t="s">
        <v>11</v>
      </c>
      <c r="E861" s="7">
        <v>1</v>
      </c>
      <c r="F861" s="12">
        <v>190</v>
      </c>
      <c r="G861" s="7">
        <v>5</v>
      </c>
      <c r="H861" s="10">
        <v>185</v>
      </c>
      <c r="I861" s="3">
        <v>45220</v>
      </c>
      <c r="J861" s="3" t="s">
        <v>2532</v>
      </c>
      <c r="K861" s="8">
        <v>1</v>
      </c>
    </row>
    <row r="862" spans="1:11" x14ac:dyDescent="0.25">
      <c r="A862" s="2" t="s">
        <v>1742</v>
      </c>
      <c r="B862" s="5" t="s">
        <v>1743</v>
      </c>
      <c r="C862" s="2" t="s">
        <v>47</v>
      </c>
      <c r="D862" s="1" t="s">
        <v>11</v>
      </c>
      <c r="E862" s="7">
        <v>1</v>
      </c>
      <c r="F862" s="12">
        <v>190</v>
      </c>
      <c r="G862" s="7">
        <v>0</v>
      </c>
      <c r="H862" s="10">
        <v>190</v>
      </c>
      <c r="I862" s="3">
        <v>45220</v>
      </c>
      <c r="J862" s="3" t="s">
        <v>2540</v>
      </c>
      <c r="K862" s="8">
        <v>1</v>
      </c>
    </row>
    <row r="863" spans="1:11" x14ac:dyDescent="0.25">
      <c r="A863" s="2" t="s">
        <v>1744</v>
      </c>
      <c r="B863" s="5" t="s">
        <v>1745</v>
      </c>
      <c r="C863" s="2" t="s">
        <v>47</v>
      </c>
      <c r="D863" s="1" t="s">
        <v>11</v>
      </c>
      <c r="E863" s="7">
        <v>1</v>
      </c>
      <c r="F863" s="12">
        <v>190</v>
      </c>
      <c r="G863" s="7">
        <v>5</v>
      </c>
      <c r="H863" s="10">
        <v>185</v>
      </c>
      <c r="I863" s="3">
        <v>45220</v>
      </c>
      <c r="J863" s="3" t="s">
        <v>2532</v>
      </c>
      <c r="K863" s="8">
        <v>4</v>
      </c>
    </row>
    <row r="864" spans="1:11" x14ac:dyDescent="0.25">
      <c r="A864" s="2" t="s">
        <v>1746</v>
      </c>
      <c r="B864" s="5" t="s">
        <v>1747</v>
      </c>
      <c r="C864" s="2" t="s">
        <v>47</v>
      </c>
      <c r="D864" s="1" t="s">
        <v>11</v>
      </c>
      <c r="E864" s="7">
        <v>1</v>
      </c>
      <c r="F864" s="12">
        <v>190</v>
      </c>
      <c r="G864" s="7">
        <v>0</v>
      </c>
      <c r="H864" s="10">
        <v>190</v>
      </c>
      <c r="I864" s="3">
        <v>45220</v>
      </c>
      <c r="J864" s="3" t="s">
        <v>2540</v>
      </c>
      <c r="K864" s="8">
        <v>4</v>
      </c>
    </row>
    <row r="865" spans="1:11" x14ac:dyDescent="0.25">
      <c r="A865" s="2" t="s">
        <v>1748</v>
      </c>
      <c r="B865" s="5" t="s">
        <v>1749</v>
      </c>
      <c r="C865" s="2" t="s">
        <v>47</v>
      </c>
      <c r="D865" s="1" t="s">
        <v>11</v>
      </c>
      <c r="E865" s="7">
        <v>1</v>
      </c>
      <c r="F865" s="12">
        <v>190</v>
      </c>
      <c r="G865" s="7">
        <v>0</v>
      </c>
      <c r="H865" s="10">
        <v>190</v>
      </c>
      <c r="I865" s="3">
        <v>45220</v>
      </c>
      <c r="J865" s="3" t="s">
        <v>2540</v>
      </c>
      <c r="K865" s="8">
        <v>1</v>
      </c>
    </row>
    <row r="866" spans="1:11" x14ac:dyDescent="0.25">
      <c r="A866" s="2" t="s">
        <v>1750</v>
      </c>
      <c r="B866" s="5" t="s">
        <v>1751</v>
      </c>
      <c r="C866" s="2" t="s">
        <v>19</v>
      </c>
      <c r="D866" s="1" t="s">
        <v>11</v>
      </c>
      <c r="E866" s="7">
        <v>1</v>
      </c>
      <c r="F866" s="12">
        <v>130</v>
      </c>
      <c r="G866" s="7">
        <v>5</v>
      </c>
      <c r="H866" s="10">
        <v>125</v>
      </c>
      <c r="I866" s="3">
        <v>45224</v>
      </c>
      <c r="J866" s="3" t="s">
        <v>2540</v>
      </c>
      <c r="K866" s="8">
        <v>1</v>
      </c>
    </row>
    <row r="867" spans="1:11" x14ac:dyDescent="0.25">
      <c r="A867" s="2" t="s">
        <v>1752</v>
      </c>
      <c r="B867" s="5" t="s">
        <v>1753</v>
      </c>
      <c r="C867" s="2" t="s">
        <v>47</v>
      </c>
      <c r="D867" s="1" t="s">
        <v>11</v>
      </c>
      <c r="E867" s="7">
        <v>2</v>
      </c>
      <c r="F867" s="12">
        <v>190</v>
      </c>
      <c r="G867" s="7">
        <v>5</v>
      </c>
      <c r="H867" s="10">
        <v>375</v>
      </c>
      <c r="I867" s="3">
        <v>45224</v>
      </c>
      <c r="J867" s="3" t="s">
        <v>2540</v>
      </c>
      <c r="K867" s="8">
        <v>3</v>
      </c>
    </row>
    <row r="868" spans="1:11" x14ac:dyDescent="0.25">
      <c r="A868" s="2" t="s">
        <v>1754</v>
      </c>
      <c r="B868" s="5" t="s">
        <v>1755</v>
      </c>
      <c r="C868" s="2" t="s">
        <v>167</v>
      </c>
      <c r="D868" s="1" t="s">
        <v>11</v>
      </c>
      <c r="E868" s="7">
        <v>1</v>
      </c>
      <c r="F868" s="12">
        <v>210</v>
      </c>
      <c r="G868" s="7">
        <v>10</v>
      </c>
      <c r="H868" s="10">
        <v>200</v>
      </c>
      <c r="I868" s="3">
        <v>45224</v>
      </c>
      <c r="J868" s="3" t="s">
        <v>2542</v>
      </c>
      <c r="K868" s="8">
        <v>3</v>
      </c>
    </row>
    <row r="869" spans="1:11" x14ac:dyDescent="0.25">
      <c r="A869" s="2" t="s">
        <v>1756</v>
      </c>
      <c r="B869" s="5" t="s">
        <v>1757</v>
      </c>
      <c r="C869" s="2" t="s">
        <v>93</v>
      </c>
      <c r="D869" s="1" t="s">
        <v>11</v>
      </c>
      <c r="E869" s="7">
        <v>3</v>
      </c>
      <c r="F869" s="12">
        <v>85</v>
      </c>
      <c r="G869" s="7">
        <v>0</v>
      </c>
      <c r="H869" s="10">
        <v>255</v>
      </c>
      <c r="I869" s="3">
        <v>45224</v>
      </c>
      <c r="J869" s="3" t="s">
        <v>2543</v>
      </c>
      <c r="K869" s="8">
        <v>3</v>
      </c>
    </row>
    <row r="870" spans="1:11" x14ac:dyDescent="0.25">
      <c r="A870" s="2" t="s">
        <v>1758</v>
      </c>
      <c r="B870" s="5" t="s">
        <v>1759</v>
      </c>
      <c r="C870" s="2" t="s">
        <v>19</v>
      </c>
      <c r="D870" s="1" t="s">
        <v>11</v>
      </c>
      <c r="E870" s="7">
        <v>1</v>
      </c>
      <c r="F870" s="12">
        <v>130</v>
      </c>
      <c r="G870" s="7">
        <v>5</v>
      </c>
      <c r="H870" s="10">
        <v>125</v>
      </c>
      <c r="I870" s="3">
        <v>45224</v>
      </c>
      <c r="J870" s="3" t="s">
        <v>2540</v>
      </c>
      <c r="K870" s="8">
        <v>2</v>
      </c>
    </row>
    <row r="871" spans="1:11" x14ac:dyDescent="0.25">
      <c r="A871" s="2" t="s">
        <v>1760</v>
      </c>
      <c r="B871" s="5" t="s">
        <v>1761</v>
      </c>
      <c r="C871" s="2" t="s">
        <v>47</v>
      </c>
      <c r="D871" s="1" t="s">
        <v>11</v>
      </c>
      <c r="E871" s="7">
        <v>2</v>
      </c>
      <c r="F871" s="12">
        <v>190</v>
      </c>
      <c r="G871" s="7">
        <v>5</v>
      </c>
      <c r="H871" s="10">
        <v>375</v>
      </c>
      <c r="I871" s="3">
        <v>45224</v>
      </c>
      <c r="J871" s="3" t="s">
        <v>2540</v>
      </c>
      <c r="K871" s="8">
        <v>3</v>
      </c>
    </row>
    <row r="872" spans="1:11" x14ac:dyDescent="0.25">
      <c r="A872" s="2" t="s">
        <v>1762</v>
      </c>
      <c r="B872" s="5" t="s">
        <v>1763</v>
      </c>
      <c r="C872" s="2" t="s">
        <v>167</v>
      </c>
      <c r="D872" s="1" t="s">
        <v>11</v>
      </c>
      <c r="E872" s="7">
        <v>1</v>
      </c>
      <c r="F872" s="12">
        <v>210</v>
      </c>
      <c r="G872" s="7">
        <v>10</v>
      </c>
      <c r="H872" s="10">
        <v>200</v>
      </c>
      <c r="I872" s="3">
        <v>45224</v>
      </c>
      <c r="J872" s="3" t="s">
        <v>2542</v>
      </c>
      <c r="K872" s="8">
        <v>4</v>
      </c>
    </row>
    <row r="873" spans="1:11" x14ac:dyDescent="0.25">
      <c r="A873" s="2" t="s">
        <v>1764</v>
      </c>
      <c r="B873" s="5" t="s">
        <v>1765</v>
      </c>
      <c r="C873" s="2" t="s">
        <v>93</v>
      </c>
      <c r="D873" s="1" t="s">
        <v>11</v>
      </c>
      <c r="E873" s="7">
        <v>3</v>
      </c>
      <c r="F873" s="12">
        <v>85</v>
      </c>
      <c r="G873" s="7">
        <v>0</v>
      </c>
      <c r="H873" s="10">
        <v>255</v>
      </c>
      <c r="I873" s="3">
        <v>45224</v>
      </c>
      <c r="J873" s="3" t="s">
        <v>2543</v>
      </c>
      <c r="K873" s="8">
        <v>4</v>
      </c>
    </row>
    <row r="874" spans="1:11" x14ac:dyDescent="0.25">
      <c r="A874" s="2" t="s">
        <v>1766</v>
      </c>
      <c r="B874" s="5" t="s">
        <v>1767</v>
      </c>
      <c r="C874" s="2" t="s">
        <v>167</v>
      </c>
      <c r="D874" s="1" t="s">
        <v>11</v>
      </c>
      <c r="E874" s="7">
        <v>1</v>
      </c>
      <c r="F874" s="12">
        <v>210</v>
      </c>
      <c r="G874" s="7">
        <v>10</v>
      </c>
      <c r="H874" s="10">
        <v>200</v>
      </c>
      <c r="I874" s="3">
        <v>45224</v>
      </c>
      <c r="J874" s="3" t="s">
        <v>2542</v>
      </c>
      <c r="K874" s="8">
        <v>2</v>
      </c>
    </row>
    <row r="875" spans="1:11" x14ac:dyDescent="0.25">
      <c r="A875" s="2" t="s">
        <v>1768</v>
      </c>
      <c r="B875" s="5" t="s">
        <v>1769</v>
      </c>
      <c r="C875" s="2" t="s">
        <v>93</v>
      </c>
      <c r="D875" s="1" t="s">
        <v>11</v>
      </c>
      <c r="E875" s="7">
        <v>3</v>
      </c>
      <c r="F875" s="12">
        <v>85</v>
      </c>
      <c r="G875" s="7">
        <v>0</v>
      </c>
      <c r="H875" s="10">
        <v>255</v>
      </c>
      <c r="I875" s="3">
        <v>45224</v>
      </c>
      <c r="J875" s="3" t="s">
        <v>2543</v>
      </c>
      <c r="K875" s="8">
        <v>1</v>
      </c>
    </row>
    <row r="876" spans="1:11" x14ac:dyDescent="0.25">
      <c r="A876" s="2" t="s">
        <v>1770</v>
      </c>
      <c r="B876" s="5" t="s">
        <v>1771</v>
      </c>
      <c r="C876" s="2" t="s">
        <v>10</v>
      </c>
      <c r="D876" s="1" t="s">
        <v>11</v>
      </c>
      <c r="E876" s="7">
        <v>1</v>
      </c>
      <c r="F876" s="12">
        <v>160</v>
      </c>
      <c r="G876" s="7">
        <v>0</v>
      </c>
      <c r="H876" s="10">
        <v>160</v>
      </c>
      <c r="I876" s="3">
        <v>45225</v>
      </c>
      <c r="J876" s="3" t="s">
        <v>2545</v>
      </c>
      <c r="K876" s="8">
        <v>4</v>
      </c>
    </row>
    <row r="877" spans="1:11" x14ac:dyDescent="0.25">
      <c r="A877" s="2" t="s">
        <v>1772</v>
      </c>
      <c r="B877" s="5" t="s">
        <v>1773</v>
      </c>
      <c r="C877" s="2" t="s">
        <v>32</v>
      </c>
      <c r="D877" s="1" t="s">
        <v>11</v>
      </c>
      <c r="E877" s="7">
        <v>1</v>
      </c>
      <c r="F877" s="12">
        <v>135</v>
      </c>
      <c r="G877" s="7">
        <v>0</v>
      </c>
      <c r="H877" s="10">
        <v>135</v>
      </c>
      <c r="I877" s="3">
        <v>45225</v>
      </c>
      <c r="J877" s="3" t="s">
        <v>2546</v>
      </c>
      <c r="K877" s="8">
        <v>2</v>
      </c>
    </row>
    <row r="878" spans="1:11" x14ac:dyDescent="0.25">
      <c r="A878" s="2" t="s">
        <v>1774</v>
      </c>
      <c r="B878" s="5" t="s">
        <v>1775</v>
      </c>
      <c r="C878" s="2" t="s">
        <v>10</v>
      </c>
      <c r="D878" s="1" t="s">
        <v>11</v>
      </c>
      <c r="E878" s="7">
        <v>1</v>
      </c>
      <c r="F878" s="12">
        <v>160</v>
      </c>
      <c r="G878" s="7">
        <v>0</v>
      </c>
      <c r="H878" s="10">
        <v>160</v>
      </c>
      <c r="I878" s="3">
        <v>45225</v>
      </c>
      <c r="J878" s="3" t="s">
        <v>2545</v>
      </c>
      <c r="K878" s="8">
        <v>2</v>
      </c>
    </row>
    <row r="879" spans="1:11" x14ac:dyDescent="0.25">
      <c r="A879" s="2" t="s">
        <v>1776</v>
      </c>
      <c r="B879" s="5" t="s">
        <v>1777</v>
      </c>
      <c r="C879" s="2" t="s">
        <v>32</v>
      </c>
      <c r="D879" s="1" t="s">
        <v>11</v>
      </c>
      <c r="E879" s="7">
        <v>1</v>
      </c>
      <c r="F879" s="12">
        <v>135</v>
      </c>
      <c r="G879" s="7">
        <v>0</v>
      </c>
      <c r="H879" s="10">
        <v>135</v>
      </c>
      <c r="I879" s="3">
        <v>45225</v>
      </c>
      <c r="J879" s="3" t="s">
        <v>2546</v>
      </c>
      <c r="K879" s="8">
        <v>4</v>
      </c>
    </row>
    <row r="880" spans="1:11" x14ac:dyDescent="0.25">
      <c r="A880" s="2" t="s">
        <v>1778</v>
      </c>
      <c r="B880" s="5" t="s">
        <v>1779</v>
      </c>
      <c r="C880" s="2" t="s">
        <v>10</v>
      </c>
      <c r="D880" s="1" t="s">
        <v>11</v>
      </c>
      <c r="E880" s="7">
        <v>1</v>
      </c>
      <c r="F880" s="12">
        <v>160</v>
      </c>
      <c r="G880" s="7">
        <v>0</v>
      </c>
      <c r="H880" s="10">
        <v>160</v>
      </c>
      <c r="I880" s="3">
        <v>45225</v>
      </c>
      <c r="J880" s="3" t="s">
        <v>2545</v>
      </c>
      <c r="K880" s="8">
        <v>1</v>
      </c>
    </row>
    <row r="881" spans="1:11" x14ac:dyDescent="0.25">
      <c r="A881" s="2" t="s">
        <v>1780</v>
      </c>
      <c r="B881" s="5" t="s">
        <v>1781</v>
      </c>
      <c r="C881" s="2" t="s">
        <v>19</v>
      </c>
      <c r="D881" s="1" t="s">
        <v>11</v>
      </c>
      <c r="E881" s="7">
        <v>3</v>
      </c>
      <c r="F881" s="12">
        <v>130</v>
      </c>
      <c r="G881" s="7">
        <v>0</v>
      </c>
      <c r="H881" s="10">
        <v>390</v>
      </c>
      <c r="I881" s="3">
        <v>45226</v>
      </c>
      <c r="J881" s="3" t="s">
        <v>2542</v>
      </c>
      <c r="K881" s="8">
        <v>3</v>
      </c>
    </row>
    <row r="882" spans="1:11" x14ac:dyDescent="0.25">
      <c r="A882" s="2" t="s">
        <v>1782</v>
      </c>
      <c r="B882" s="5" t="s">
        <v>1783</v>
      </c>
      <c r="C882" s="2" t="s">
        <v>32</v>
      </c>
      <c r="D882" s="1" t="s">
        <v>11</v>
      </c>
      <c r="E882" s="7">
        <v>1</v>
      </c>
      <c r="F882" s="12">
        <v>135</v>
      </c>
      <c r="G882" s="7">
        <v>10</v>
      </c>
      <c r="H882" s="10">
        <v>125</v>
      </c>
      <c r="I882" s="3">
        <v>45226</v>
      </c>
      <c r="J882" s="3" t="s">
        <v>2545</v>
      </c>
      <c r="K882" s="8">
        <v>2</v>
      </c>
    </row>
    <row r="883" spans="1:11" x14ac:dyDescent="0.25">
      <c r="A883" s="2" t="s">
        <v>1784</v>
      </c>
      <c r="B883" s="5" t="s">
        <v>1785</v>
      </c>
      <c r="C883" s="2" t="s">
        <v>19</v>
      </c>
      <c r="D883" s="1" t="s">
        <v>11</v>
      </c>
      <c r="E883" s="7">
        <v>3</v>
      </c>
      <c r="F883" s="12">
        <v>130</v>
      </c>
      <c r="G883" s="7">
        <v>0</v>
      </c>
      <c r="H883" s="10">
        <v>390</v>
      </c>
      <c r="I883" s="3">
        <v>45226</v>
      </c>
      <c r="J883" s="3" t="s">
        <v>2542</v>
      </c>
      <c r="K883" s="8">
        <v>4</v>
      </c>
    </row>
    <row r="884" spans="1:11" x14ac:dyDescent="0.25">
      <c r="A884" s="2" t="s">
        <v>1786</v>
      </c>
      <c r="B884" s="5" t="s">
        <v>1787</v>
      </c>
      <c r="C884" s="2" t="s">
        <v>32</v>
      </c>
      <c r="D884" s="1" t="s">
        <v>11</v>
      </c>
      <c r="E884" s="7">
        <v>1</v>
      </c>
      <c r="F884" s="12">
        <v>135</v>
      </c>
      <c r="G884" s="7">
        <v>10</v>
      </c>
      <c r="H884" s="10">
        <v>125</v>
      </c>
      <c r="I884" s="3">
        <v>45226</v>
      </c>
      <c r="J884" s="3" t="s">
        <v>2545</v>
      </c>
      <c r="K884" s="8">
        <v>4</v>
      </c>
    </row>
    <row r="885" spans="1:11" x14ac:dyDescent="0.25">
      <c r="A885" s="2" t="s">
        <v>1788</v>
      </c>
      <c r="B885" s="5" t="s">
        <v>1789</v>
      </c>
      <c r="C885" s="2" t="s">
        <v>32</v>
      </c>
      <c r="D885" s="1" t="s">
        <v>11</v>
      </c>
      <c r="E885" s="7">
        <v>1</v>
      </c>
      <c r="F885" s="12">
        <v>135</v>
      </c>
      <c r="G885" s="7">
        <v>0</v>
      </c>
      <c r="H885" s="10">
        <v>135</v>
      </c>
      <c r="I885" s="3">
        <v>45227</v>
      </c>
      <c r="J885" s="3" t="s">
        <v>2549</v>
      </c>
      <c r="K885" s="8">
        <v>4</v>
      </c>
    </row>
    <row r="886" spans="1:11" x14ac:dyDescent="0.25">
      <c r="A886" s="2" t="s">
        <v>1790</v>
      </c>
      <c r="B886" s="5" t="s">
        <v>1791</v>
      </c>
      <c r="C886" s="2" t="s">
        <v>32</v>
      </c>
      <c r="D886" s="1" t="s">
        <v>11</v>
      </c>
      <c r="E886" s="7">
        <v>3</v>
      </c>
      <c r="F886" s="12">
        <v>135</v>
      </c>
      <c r="G886" s="7">
        <v>5</v>
      </c>
      <c r="H886" s="10">
        <v>400</v>
      </c>
      <c r="I886" s="3">
        <v>45227</v>
      </c>
      <c r="J886" s="3" t="s">
        <v>2550</v>
      </c>
      <c r="K886" s="8">
        <v>3</v>
      </c>
    </row>
    <row r="887" spans="1:11" x14ac:dyDescent="0.25">
      <c r="A887" s="2" t="s">
        <v>1792</v>
      </c>
      <c r="B887" s="5" t="s">
        <v>1793</v>
      </c>
      <c r="C887" s="2" t="s">
        <v>19</v>
      </c>
      <c r="D887" s="1" t="s">
        <v>11</v>
      </c>
      <c r="E887" s="7">
        <v>1</v>
      </c>
      <c r="F887" s="12">
        <v>130</v>
      </c>
      <c r="G887" s="7">
        <v>0</v>
      </c>
      <c r="H887" s="10">
        <v>130</v>
      </c>
      <c r="I887" s="3">
        <v>45227</v>
      </c>
      <c r="J887" s="3" t="s">
        <v>2549</v>
      </c>
      <c r="K887" s="8">
        <v>3</v>
      </c>
    </row>
    <row r="888" spans="1:11" x14ac:dyDescent="0.25">
      <c r="A888" s="2" t="s">
        <v>1794</v>
      </c>
      <c r="B888" s="5" t="s">
        <v>1795</v>
      </c>
      <c r="C888" s="2" t="s">
        <v>32</v>
      </c>
      <c r="D888" s="1" t="s">
        <v>11</v>
      </c>
      <c r="E888" s="7">
        <v>1</v>
      </c>
      <c r="F888" s="12">
        <v>135</v>
      </c>
      <c r="G888" s="7">
        <v>0</v>
      </c>
      <c r="H888" s="10">
        <v>135</v>
      </c>
      <c r="I888" s="3">
        <v>45227</v>
      </c>
      <c r="J888" s="3" t="s">
        <v>2549</v>
      </c>
      <c r="K888" s="8">
        <v>4</v>
      </c>
    </row>
    <row r="889" spans="1:11" x14ac:dyDescent="0.25">
      <c r="A889" s="2" t="s">
        <v>1796</v>
      </c>
      <c r="B889" s="5" t="s">
        <v>1797</v>
      </c>
      <c r="C889" s="2" t="s">
        <v>32</v>
      </c>
      <c r="D889" s="1" t="s">
        <v>11</v>
      </c>
      <c r="E889" s="7">
        <v>3</v>
      </c>
      <c r="F889" s="12">
        <v>135</v>
      </c>
      <c r="G889" s="7">
        <v>5</v>
      </c>
      <c r="H889" s="10">
        <v>400</v>
      </c>
      <c r="I889" s="3">
        <v>45227</v>
      </c>
      <c r="J889" s="3" t="s">
        <v>2550</v>
      </c>
      <c r="K889" s="8">
        <v>1</v>
      </c>
    </row>
    <row r="890" spans="1:11" x14ac:dyDescent="0.25">
      <c r="A890" s="2" t="s">
        <v>1798</v>
      </c>
      <c r="B890" s="5" t="s">
        <v>1799</v>
      </c>
      <c r="C890" s="2" t="s">
        <v>19</v>
      </c>
      <c r="D890" s="1" t="s">
        <v>11</v>
      </c>
      <c r="E890" s="7">
        <v>1</v>
      </c>
      <c r="F890" s="12">
        <v>130</v>
      </c>
      <c r="G890" s="7">
        <v>0</v>
      </c>
      <c r="H890" s="10">
        <v>130</v>
      </c>
      <c r="I890" s="3">
        <v>45227</v>
      </c>
      <c r="J890" s="3" t="s">
        <v>2549</v>
      </c>
      <c r="K890" s="8">
        <v>2</v>
      </c>
    </row>
    <row r="891" spans="1:11" x14ac:dyDescent="0.25">
      <c r="A891" s="2" t="s">
        <v>1800</v>
      </c>
      <c r="B891" s="5" t="s">
        <v>1801</v>
      </c>
      <c r="C891" s="2" t="s">
        <v>32</v>
      </c>
      <c r="D891" s="1" t="s">
        <v>11</v>
      </c>
      <c r="E891" s="7">
        <v>3</v>
      </c>
      <c r="F891" s="12">
        <v>135</v>
      </c>
      <c r="G891" s="7">
        <v>5</v>
      </c>
      <c r="H891" s="10">
        <v>400</v>
      </c>
      <c r="I891" s="3">
        <v>45227</v>
      </c>
      <c r="J891" s="3" t="s">
        <v>2550</v>
      </c>
      <c r="K891" s="8">
        <v>2</v>
      </c>
    </row>
    <row r="892" spans="1:11" x14ac:dyDescent="0.25">
      <c r="A892" s="2" t="s">
        <v>1802</v>
      </c>
      <c r="B892" s="5" t="s">
        <v>1803</v>
      </c>
      <c r="C892" s="2" t="s">
        <v>19</v>
      </c>
      <c r="D892" s="1" t="s">
        <v>11</v>
      </c>
      <c r="E892" s="7">
        <v>2</v>
      </c>
      <c r="F892" s="12">
        <v>130</v>
      </c>
      <c r="G892" s="7">
        <v>0</v>
      </c>
      <c r="H892" s="10">
        <v>260</v>
      </c>
      <c r="I892" s="3">
        <v>45229</v>
      </c>
      <c r="J892" s="3" t="s">
        <v>2550</v>
      </c>
      <c r="K892" s="8">
        <v>1</v>
      </c>
    </row>
    <row r="893" spans="1:11" x14ac:dyDescent="0.25">
      <c r="A893" s="2" t="s">
        <v>1804</v>
      </c>
      <c r="B893" s="5" t="s">
        <v>1805</v>
      </c>
      <c r="C893" s="2" t="s">
        <v>93</v>
      </c>
      <c r="D893" s="1" t="s">
        <v>11</v>
      </c>
      <c r="E893" s="7">
        <v>1</v>
      </c>
      <c r="F893" s="12">
        <v>85</v>
      </c>
      <c r="G893" s="7">
        <v>0</v>
      </c>
      <c r="H893" s="10">
        <v>85</v>
      </c>
      <c r="I893" s="3">
        <v>45229</v>
      </c>
      <c r="J893" s="3" t="s">
        <v>2552</v>
      </c>
      <c r="K893" s="8">
        <v>3</v>
      </c>
    </row>
    <row r="894" spans="1:11" x14ac:dyDescent="0.25">
      <c r="A894" s="2" t="s">
        <v>1806</v>
      </c>
      <c r="B894" s="5" t="s">
        <v>1807</v>
      </c>
      <c r="C894" s="2" t="s">
        <v>70</v>
      </c>
      <c r="D894" s="1" t="s">
        <v>11</v>
      </c>
      <c r="E894" s="7">
        <v>1</v>
      </c>
      <c r="F894" s="12">
        <v>125</v>
      </c>
      <c r="G894" s="7">
        <v>0</v>
      </c>
      <c r="H894" s="10">
        <v>125</v>
      </c>
      <c r="I894" s="3">
        <v>45229</v>
      </c>
      <c r="J894" s="3" t="s">
        <v>2550</v>
      </c>
      <c r="K894" s="8">
        <v>3</v>
      </c>
    </row>
    <row r="895" spans="1:11" x14ac:dyDescent="0.25">
      <c r="A895" s="2" t="s">
        <v>1808</v>
      </c>
      <c r="B895" s="5" t="s">
        <v>1809</v>
      </c>
      <c r="C895" s="2" t="s">
        <v>19</v>
      </c>
      <c r="D895" s="1" t="s">
        <v>11</v>
      </c>
      <c r="E895" s="7">
        <v>1</v>
      </c>
      <c r="F895" s="12">
        <v>130</v>
      </c>
      <c r="G895" s="7">
        <v>5</v>
      </c>
      <c r="H895" s="10">
        <v>125</v>
      </c>
      <c r="I895" s="3">
        <v>45229</v>
      </c>
      <c r="J895" s="3" t="s">
        <v>2545</v>
      </c>
      <c r="K895" s="8">
        <v>3</v>
      </c>
    </row>
    <row r="896" spans="1:11" x14ac:dyDescent="0.25">
      <c r="A896" s="2" t="s">
        <v>1810</v>
      </c>
      <c r="B896" s="5" t="s">
        <v>1811</v>
      </c>
      <c r="C896" s="2" t="s">
        <v>19</v>
      </c>
      <c r="D896" s="1" t="s">
        <v>11</v>
      </c>
      <c r="E896" s="7">
        <v>2</v>
      </c>
      <c r="F896" s="12">
        <v>130</v>
      </c>
      <c r="G896" s="7">
        <v>0</v>
      </c>
      <c r="H896" s="10">
        <v>260</v>
      </c>
      <c r="I896" s="3">
        <v>45229</v>
      </c>
      <c r="J896" s="3" t="s">
        <v>2550</v>
      </c>
      <c r="K896" s="8">
        <v>2</v>
      </c>
    </row>
    <row r="897" spans="1:11" x14ac:dyDescent="0.25">
      <c r="A897" s="2" t="s">
        <v>1812</v>
      </c>
      <c r="B897" s="5" t="s">
        <v>1813</v>
      </c>
      <c r="C897" s="2" t="s">
        <v>93</v>
      </c>
      <c r="D897" s="1" t="s">
        <v>11</v>
      </c>
      <c r="E897" s="7">
        <v>1</v>
      </c>
      <c r="F897" s="12">
        <v>85</v>
      </c>
      <c r="G897" s="7">
        <v>0</v>
      </c>
      <c r="H897" s="10">
        <v>85</v>
      </c>
      <c r="I897" s="3">
        <v>45229</v>
      </c>
      <c r="J897" s="3" t="s">
        <v>2552</v>
      </c>
      <c r="K897" s="8">
        <v>1</v>
      </c>
    </row>
    <row r="898" spans="1:11" x14ac:dyDescent="0.25">
      <c r="A898" s="2" t="s">
        <v>1814</v>
      </c>
      <c r="B898" s="5" t="s">
        <v>1815</v>
      </c>
      <c r="C898" s="2" t="s">
        <v>70</v>
      </c>
      <c r="D898" s="1" t="s">
        <v>11</v>
      </c>
      <c r="E898" s="7">
        <v>1</v>
      </c>
      <c r="F898" s="12">
        <v>125</v>
      </c>
      <c r="G898" s="7">
        <v>0</v>
      </c>
      <c r="H898" s="10">
        <v>125</v>
      </c>
      <c r="I898" s="3">
        <v>45229</v>
      </c>
      <c r="J898" s="3" t="s">
        <v>2550</v>
      </c>
      <c r="K898" s="8">
        <v>3</v>
      </c>
    </row>
    <row r="899" spans="1:11" x14ac:dyDescent="0.25">
      <c r="A899" s="2" t="s">
        <v>1816</v>
      </c>
      <c r="B899" s="5" t="s">
        <v>1817</v>
      </c>
      <c r="C899" s="2" t="s">
        <v>19</v>
      </c>
      <c r="D899" s="1" t="s">
        <v>11</v>
      </c>
      <c r="E899" s="7">
        <v>1</v>
      </c>
      <c r="F899" s="12">
        <v>130</v>
      </c>
      <c r="G899" s="7">
        <v>5</v>
      </c>
      <c r="H899" s="10">
        <v>125</v>
      </c>
      <c r="I899" s="3">
        <v>45229</v>
      </c>
      <c r="J899" s="3" t="s">
        <v>2545</v>
      </c>
      <c r="K899" s="8">
        <v>3</v>
      </c>
    </row>
    <row r="900" spans="1:11" x14ac:dyDescent="0.25">
      <c r="A900" s="2" t="s">
        <v>1818</v>
      </c>
      <c r="B900" s="5" t="s">
        <v>1819</v>
      </c>
      <c r="C900" s="2" t="s">
        <v>19</v>
      </c>
      <c r="D900" s="1" t="s">
        <v>11</v>
      </c>
      <c r="E900" s="7">
        <v>2</v>
      </c>
      <c r="F900" s="12">
        <v>130</v>
      </c>
      <c r="G900" s="7">
        <v>0</v>
      </c>
      <c r="H900" s="10">
        <v>260</v>
      </c>
      <c r="I900" s="3">
        <v>45229</v>
      </c>
      <c r="J900" s="3" t="s">
        <v>2550</v>
      </c>
      <c r="K900" s="8">
        <v>4</v>
      </c>
    </row>
    <row r="901" spans="1:11" x14ac:dyDescent="0.25">
      <c r="A901" s="2" t="s">
        <v>1820</v>
      </c>
      <c r="B901" s="5" t="s">
        <v>1821</v>
      </c>
      <c r="C901" s="2" t="s">
        <v>19</v>
      </c>
      <c r="D901" s="1" t="s">
        <v>11</v>
      </c>
      <c r="E901" s="7">
        <v>2</v>
      </c>
      <c r="F901" s="12">
        <v>130</v>
      </c>
      <c r="G901" s="7">
        <v>0</v>
      </c>
      <c r="H901" s="10">
        <v>260</v>
      </c>
      <c r="I901" s="3">
        <v>44968</v>
      </c>
      <c r="J901" s="3" t="s">
        <v>2553</v>
      </c>
      <c r="K901" s="8">
        <v>1</v>
      </c>
    </row>
    <row r="902" spans="1:11" x14ac:dyDescent="0.25">
      <c r="A902" s="2" t="s">
        <v>1822</v>
      </c>
      <c r="B902" s="5" t="s">
        <v>1823</v>
      </c>
      <c r="C902" s="2" t="s">
        <v>19</v>
      </c>
      <c r="D902" s="1" t="s">
        <v>11</v>
      </c>
      <c r="E902" s="7">
        <v>2</v>
      </c>
      <c r="F902" s="12">
        <v>130</v>
      </c>
      <c r="G902" s="7">
        <v>0</v>
      </c>
      <c r="H902" s="10">
        <v>260</v>
      </c>
      <c r="I902" s="3">
        <v>44968</v>
      </c>
      <c r="J902" s="3" t="s">
        <v>2553</v>
      </c>
      <c r="K902" s="8">
        <v>1</v>
      </c>
    </row>
    <row r="903" spans="1:11" x14ac:dyDescent="0.25">
      <c r="A903" s="2" t="s">
        <v>1824</v>
      </c>
      <c r="B903" s="5" t="s">
        <v>1825</v>
      </c>
      <c r="C903" s="2" t="s">
        <v>317</v>
      </c>
      <c r="D903" s="1" t="s">
        <v>137</v>
      </c>
      <c r="E903" s="7">
        <v>2</v>
      </c>
      <c r="F903" s="12">
        <v>215</v>
      </c>
      <c r="G903" s="7">
        <v>0</v>
      </c>
      <c r="H903" s="10">
        <v>430</v>
      </c>
      <c r="I903" s="3">
        <v>45027</v>
      </c>
      <c r="J903" s="3" t="s">
        <v>2554</v>
      </c>
      <c r="K903" s="8">
        <v>2</v>
      </c>
    </row>
    <row r="904" spans="1:11" x14ac:dyDescent="0.25">
      <c r="A904" s="2" t="s">
        <v>1826</v>
      </c>
      <c r="B904" s="5" t="s">
        <v>1827</v>
      </c>
      <c r="C904" s="2" t="s">
        <v>32</v>
      </c>
      <c r="D904" s="1" t="s">
        <v>11</v>
      </c>
      <c r="E904" s="7">
        <v>1</v>
      </c>
      <c r="F904" s="12">
        <v>135</v>
      </c>
      <c r="G904" s="7">
        <v>0</v>
      </c>
      <c r="H904" s="10">
        <v>135</v>
      </c>
      <c r="I904" s="3">
        <v>45027</v>
      </c>
      <c r="J904" s="3" t="s">
        <v>2555</v>
      </c>
      <c r="K904" s="8">
        <v>1</v>
      </c>
    </row>
    <row r="905" spans="1:11" x14ac:dyDescent="0.25">
      <c r="A905" s="2" t="s">
        <v>1828</v>
      </c>
      <c r="B905" s="5" t="s">
        <v>1829</v>
      </c>
      <c r="C905" s="2" t="s">
        <v>19</v>
      </c>
      <c r="D905" s="1" t="s">
        <v>11</v>
      </c>
      <c r="E905" s="7">
        <v>1</v>
      </c>
      <c r="F905" s="12">
        <v>130</v>
      </c>
      <c r="G905" s="7">
        <v>0</v>
      </c>
      <c r="H905" s="10">
        <v>130</v>
      </c>
      <c r="I905" s="3">
        <v>45027</v>
      </c>
      <c r="J905" s="3" t="s">
        <v>2554</v>
      </c>
      <c r="K905" s="8">
        <v>3</v>
      </c>
    </row>
    <row r="906" spans="1:11" x14ac:dyDescent="0.25">
      <c r="A906" s="2" t="s">
        <v>1830</v>
      </c>
      <c r="B906" s="5" t="s">
        <v>1831</v>
      </c>
      <c r="C906" s="2" t="s">
        <v>317</v>
      </c>
      <c r="D906" s="1" t="s">
        <v>137</v>
      </c>
      <c r="E906" s="7">
        <v>2</v>
      </c>
      <c r="F906" s="12">
        <v>215</v>
      </c>
      <c r="G906" s="7">
        <v>0</v>
      </c>
      <c r="H906" s="10">
        <v>430</v>
      </c>
      <c r="I906" s="3">
        <v>45027</v>
      </c>
      <c r="J906" s="3" t="s">
        <v>2554</v>
      </c>
      <c r="K906" s="8">
        <v>3</v>
      </c>
    </row>
    <row r="907" spans="1:11" x14ac:dyDescent="0.25">
      <c r="A907" s="2" t="s">
        <v>1832</v>
      </c>
      <c r="B907" s="5" t="s">
        <v>1833</v>
      </c>
      <c r="C907" s="2" t="s">
        <v>32</v>
      </c>
      <c r="D907" s="1" t="s">
        <v>11</v>
      </c>
      <c r="E907" s="7">
        <v>1</v>
      </c>
      <c r="F907" s="12">
        <v>135</v>
      </c>
      <c r="G907" s="7">
        <v>0</v>
      </c>
      <c r="H907" s="10">
        <v>135</v>
      </c>
      <c r="I907" s="3">
        <v>45027</v>
      </c>
      <c r="J907" s="3" t="s">
        <v>2555</v>
      </c>
      <c r="K907" s="8">
        <v>4</v>
      </c>
    </row>
    <row r="908" spans="1:11" x14ac:dyDescent="0.25">
      <c r="A908" s="2" t="s">
        <v>1834</v>
      </c>
      <c r="B908" s="5" t="s">
        <v>1835</v>
      </c>
      <c r="C908" s="2" t="s">
        <v>19</v>
      </c>
      <c r="D908" s="1" t="s">
        <v>11</v>
      </c>
      <c r="E908" s="7">
        <v>1</v>
      </c>
      <c r="F908" s="12">
        <v>130</v>
      </c>
      <c r="G908" s="7">
        <v>0</v>
      </c>
      <c r="H908" s="10">
        <v>130</v>
      </c>
      <c r="I908" s="3">
        <v>45027</v>
      </c>
      <c r="J908" s="3" t="s">
        <v>2554</v>
      </c>
      <c r="K908" s="8">
        <v>3</v>
      </c>
    </row>
    <row r="909" spans="1:11" x14ac:dyDescent="0.25">
      <c r="A909" s="2" t="s">
        <v>1836</v>
      </c>
      <c r="B909" s="5" t="s">
        <v>1837</v>
      </c>
      <c r="C909" s="2" t="s">
        <v>19</v>
      </c>
      <c r="D909" s="1" t="s">
        <v>11</v>
      </c>
      <c r="E909" s="7">
        <v>1</v>
      </c>
      <c r="F909" s="12">
        <v>130</v>
      </c>
      <c r="G909" s="7">
        <v>0</v>
      </c>
      <c r="H909" s="10">
        <v>130</v>
      </c>
      <c r="I909" s="3">
        <v>45057</v>
      </c>
      <c r="J909" s="3" t="s">
        <v>2556</v>
      </c>
      <c r="K909" s="8">
        <v>3</v>
      </c>
    </row>
    <row r="910" spans="1:11" x14ac:dyDescent="0.25">
      <c r="A910" s="2" t="s">
        <v>1838</v>
      </c>
      <c r="B910" s="5" t="s">
        <v>1839</v>
      </c>
      <c r="C910" s="2" t="s">
        <v>19</v>
      </c>
      <c r="D910" s="1" t="s">
        <v>11</v>
      </c>
      <c r="E910" s="7">
        <v>1</v>
      </c>
      <c r="F910" s="12">
        <v>130</v>
      </c>
      <c r="G910" s="7">
        <v>0</v>
      </c>
      <c r="H910" s="10">
        <v>130</v>
      </c>
      <c r="I910" s="3">
        <v>45057</v>
      </c>
      <c r="J910" s="3" t="s">
        <v>2557</v>
      </c>
      <c r="K910" s="8">
        <v>1</v>
      </c>
    </row>
    <row r="911" spans="1:11" x14ac:dyDescent="0.25">
      <c r="A911" s="2" t="s">
        <v>1840</v>
      </c>
      <c r="B911" s="5" t="s">
        <v>1841</v>
      </c>
      <c r="C911" s="2" t="s">
        <v>47</v>
      </c>
      <c r="D911" s="1" t="s">
        <v>11</v>
      </c>
      <c r="E911" s="7">
        <v>3</v>
      </c>
      <c r="F911" s="12">
        <v>190</v>
      </c>
      <c r="G911" s="7">
        <v>5</v>
      </c>
      <c r="H911" s="10">
        <v>565</v>
      </c>
      <c r="I911" s="3">
        <v>45057</v>
      </c>
      <c r="J911" s="3" t="s">
        <v>2555</v>
      </c>
      <c r="K911" s="8">
        <v>4</v>
      </c>
    </row>
    <row r="912" spans="1:11" x14ac:dyDescent="0.25">
      <c r="A912" s="2" t="s">
        <v>1842</v>
      </c>
      <c r="B912" s="5" t="s">
        <v>1843</v>
      </c>
      <c r="C912" s="2" t="s">
        <v>19</v>
      </c>
      <c r="D912" s="1" t="s">
        <v>11</v>
      </c>
      <c r="E912" s="7">
        <v>1</v>
      </c>
      <c r="F912" s="12">
        <v>130</v>
      </c>
      <c r="G912" s="7">
        <v>5</v>
      </c>
      <c r="H912" s="10">
        <v>125</v>
      </c>
      <c r="I912" s="3">
        <v>45057</v>
      </c>
      <c r="J912" s="3" t="s">
        <v>2554</v>
      </c>
      <c r="K912" s="8">
        <v>3</v>
      </c>
    </row>
    <row r="913" spans="1:11" x14ac:dyDescent="0.25">
      <c r="A913" s="2" t="s">
        <v>1844</v>
      </c>
      <c r="B913" s="5" t="s">
        <v>1845</v>
      </c>
      <c r="C913" s="2" t="s">
        <v>19</v>
      </c>
      <c r="D913" s="1" t="s">
        <v>11</v>
      </c>
      <c r="E913" s="7">
        <v>1</v>
      </c>
      <c r="F913" s="12">
        <v>130</v>
      </c>
      <c r="G913" s="7">
        <v>0</v>
      </c>
      <c r="H913" s="10">
        <v>130</v>
      </c>
      <c r="I913" s="3">
        <v>45057</v>
      </c>
      <c r="J913" s="3" t="s">
        <v>2556</v>
      </c>
      <c r="K913" s="8">
        <v>1</v>
      </c>
    </row>
    <row r="914" spans="1:11" x14ac:dyDescent="0.25">
      <c r="A914" s="2" t="s">
        <v>1846</v>
      </c>
      <c r="B914" s="5" t="s">
        <v>1847</v>
      </c>
      <c r="C914" s="2" t="s">
        <v>19</v>
      </c>
      <c r="D914" s="1" t="s">
        <v>11</v>
      </c>
      <c r="E914" s="7">
        <v>1</v>
      </c>
      <c r="F914" s="12">
        <v>130</v>
      </c>
      <c r="G914" s="7">
        <v>0</v>
      </c>
      <c r="H914" s="10">
        <v>130</v>
      </c>
      <c r="I914" s="3">
        <v>45057</v>
      </c>
      <c r="J914" s="3" t="s">
        <v>2557</v>
      </c>
      <c r="K914" s="8">
        <v>1</v>
      </c>
    </row>
    <row r="915" spans="1:11" x14ac:dyDescent="0.25">
      <c r="A915" s="2" t="s">
        <v>1848</v>
      </c>
      <c r="B915" s="5" t="s">
        <v>1849</v>
      </c>
      <c r="C915" s="2" t="s">
        <v>47</v>
      </c>
      <c r="D915" s="1" t="s">
        <v>11</v>
      </c>
      <c r="E915" s="7">
        <v>3</v>
      </c>
      <c r="F915" s="12">
        <v>190</v>
      </c>
      <c r="G915" s="7">
        <v>5</v>
      </c>
      <c r="H915" s="10">
        <v>565</v>
      </c>
      <c r="I915" s="3">
        <v>45057</v>
      </c>
      <c r="J915" s="3" t="s">
        <v>2555</v>
      </c>
      <c r="K915" s="8">
        <v>4</v>
      </c>
    </row>
    <row r="916" spans="1:11" x14ac:dyDescent="0.25">
      <c r="A916" s="2" t="s">
        <v>1850</v>
      </c>
      <c r="B916" s="5" t="s">
        <v>1851</v>
      </c>
      <c r="C916" s="2" t="s">
        <v>19</v>
      </c>
      <c r="D916" s="1" t="s">
        <v>11</v>
      </c>
      <c r="E916" s="7">
        <v>1</v>
      </c>
      <c r="F916" s="12">
        <v>130</v>
      </c>
      <c r="G916" s="7">
        <v>5</v>
      </c>
      <c r="H916" s="10">
        <v>125</v>
      </c>
      <c r="I916" s="3">
        <v>45057</v>
      </c>
      <c r="J916" s="3" t="s">
        <v>2554</v>
      </c>
      <c r="K916" s="8">
        <v>4</v>
      </c>
    </row>
    <row r="917" spans="1:11" x14ac:dyDescent="0.25">
      <c r="A917" s="2" t="s">
        <v>1852</v>
      </c>
      <c r="B917" s="5" t="s">
        <v>1853</v>
      </c>
      <c r="C917" s="2" t="s">
        <v>19</v>
      </c>
      <c r="D917" s="1" t="s">
        <v>11</v>
      </c>
      <c r="E917" s="7">
        <v>2</v>
      </c>
      <c r="F917" s="12">
        <v>130</v>
      </c>
      <c r="G917" s="7">
        <v>10</v>
      </c>
      <c r="H917" s="10">
        <v>250</v>
      </c>
      <c r="I917" s="3">
        <v>45118</v>
      </c>
      <c r="J917" s="3" t="s">
        <v>2558</v>
      </c>
      <c r="K917" s="8">
        <v>4</v>
      </c>
    </row>
    <row r="918" spans="1:11" x14ac:dyDescent="0.25">
      <c r="A918" s="2" t="s">
        <v>1854</v>
      </c>
      <c r="B918" s="5" t="s">
        <v>1855</v>
      </c>
      <c r="C918" s="2" t="s">
        <v>32</v>
      </c>
      <c r="D918" s="1" t="s">
        <v>11</v>
      </c>
      <c r="E918" s="7">
        <v>3</v>
      </c>
      <c r="F918" s="12">
        <v>135</v>
      </c>
      <c r="G918" s="7">
        <v>10</v>
      </c>
      <c r="H918" s="10">
        <v>395</v>
      </c>
      <c r="I918" s="3">
        <v>45118</v>
      </c>
      <c r="J918" s="3" t="s">
        <v>2555</v>
      </c>
      <c r="K918" s="8">
        <v>3</v>
      </c>
    </row>
    <row r="919" spans="1:11" x14ac:dyDescent="0.25">
      <c r="A919" s="2" t="s">
        <v>1856</v>
      </c>
      <c r="B919" s="5" t="s">
        <v>1857</v>
      </c>
      <c r="C919" s="2" t="s">
        <v>19</v>
      </c>
      <c r="D919" s="1" t="s">
        <v>11</v>
      </c>
      <c r="E919" s="7">
        <v>2</v>
      </c>
      <c r="F919" s="12">
        <v>130</v>
      </c>
      <c r="G919" s="7">
        <v>10</v>
      </c>
      <c r="H919" s="10">
        <v>250</v>
      </c>
      <c r="I919" s="3">
        <v>45118</v>
      </c>
      <c r="J919" s="3" t="s">
        <v>2558</v>
      </c>
      <c r="K919" s="8">
        <v>1</v>
      </c>
    </row>
    <row r="920" spans="1:11" x14ac:dyDescent="0.25">
      <c r="A920" s="2" t="s">
        <v>1858</v>
      </c>
      <c r="B920" s="5" t="s">
        <v>1859</v>
      </c>
      <c r="C920" s="2" t="s">
        <v>32</v>
      </c>
      <c r="D920" s="1" t="s">
        <v>11</v>
      </c>
      <c r="E920" s="7">
        <v>3</v>
      </c>
      <c r="F920" s="12">
        <v>135</v>
      </c>
      <c r="G920" s="7">
        <v>10</v>
      </c>
      <c r="H920" s="10">
        <v>395</v>
      </c>
      <c r="I920" s="3">
        <v>45118</v>
      </c>
      <c r="J920" s="3" t="s">
        <v>2555</v>
      </c>
      <c r="K920" s="8">
        <v>3</v>
      </c>
    </row>
    <row r="921" spans="1:11" x14ac:dyDescent="0.25">
      <c r="A921" s="2" t="s">
        <v>1860</v>
      </c>
      <c r="B921" s="5" t="s">
        <v>1861</v>
      </c>
      <c r="C921" s="2" t="s">
        <v>19</v>
      </c>
      <c r="D921" s="1" t="s">
        <v>11</v>
      </c>
      <c r="E921" s="7">
        <v>2</v>
      </c>
      <c r="F921" s="12">
        <v>130</v>
      </c>
      <c r="G921" s="7">
        <v>10</v>
      </c>
      <c r="H921" s="10">
        <v>250</v>
      </c>
      <c r="I921" s="3">
        <v>45118</v>
      </c>
      <c r="J921" s="3" t="s">
        <v>2558</v>
      </c>
      <c r="K921" s="8">
        <v>1</v>
      </c>
    </row>
    <row r="922" spans="1:11" x14ac:dyDescent="0.25">
      <c r="A922" s="2" t="s">
        <v>1862</v>
      </c>
      <c r="B922" s="5" t="s">
        <v>1863</v>
      </c>
      <c r="C922" s="2" t="s">
        <v>32</v>
      </c>
      <c r="D922" s="1" t="s">
        <v>11</v>
      </c>
      <c r="E922" s="7">
        <v>3</v>
      </c>
      <c r="F922" s="12">
        <v>135</v>
      </c>
      <c r="G922" s="7">
        <v>10</v>
      </c>
      <c r="H922" s="10">
        <v>395</v>
      </c>
      <c r="I922" s="3">
        <v>45118</v>
      </c>
      <c r="J922" s="3" t="s">
        <v>2555</v>
      </c>
      <c r="K922" s="8">
        <v>1</v>
      </c>
    </row>
    <row r="923" spans="1:11" x14ac:dyDescent="0.25">
      <c r="A923" s="2" t="s">
        <v>1864</v>
      </c>
      <c r="B923" s="5" t="s">
        <v>1865</v>
      </c>
      <c r="C923" s="2" t="s">
        <v>70</v>
      </c>
      <c r="D923" s="1" t="s">
        <v>11</v>
      </c>
      <c r="E923" s="7">
        <v>2</v>
      </c>
      <c r="F923" s="12">
        <v>125</v>
      </c>
      <c r="G923" s="7">
        <v>0</v>
      </c>
      <c r="H923" s="10">
        <v>250</v>
      </c>
      <c r="I923" s="3">
        <v>45149</v>
      </c>
      <c r="J923" s="3" t="s">
        <v>2558</v>
      </c>
      <c r="K923" s="8">
        <v>4</v>
      </c>
    </row>
    <row r="924" spans="1:11" x14ac:dyDescent="0.25">
      <c r="A924" s="2" t="s">
        <v>1866</v>
      </c>
      <c r="B924" s="5" t="s">
        <v>1867</v>
      </c>
      <c r="C924" s="2" t="s">
        <v>70</v>
      </c>
      <c r="D924" s="1" t="s">
        <v>11</v>
      </c>
      <c r="E924" s="7">
        <v>2</v>
      </c>
      <c r="F924" s="12">
        <v>125</v>
      </c>
      <c r="G924" s="7">
        <v>0</v>
      </c>
      <c r="H924" s="10">
        <v>250</v>
      </c>
      <c r="I924" s="3">
        <v>45149</v>
      </c>
      <c r="J924" s="3" t="s">
        <v>2558</v>
      </c>
      <c r="K924" s="8">
        <v>2</v>
      </c>
    </row>
    <row r="925" spans="1:11" x14ac:dyDescent="0.25">
      <c r="A925" s="2" t="s">
        <v>1868</v>
      </c>
      <c r="B925" s="5" t="s">
        <v>1869</v>
      </c>
      <c r="C925" s="2" t="s">
        <v>70</v>
      </c>
      <c r="D925" s="1" t="s">
        <v>11</v>
      </c>
      <c r="E925" s="7">
        <v>2</v>
      </c>
      <c r="F925" s="12">
        <v>125</v>
      </c>
      <c r="G925" s="7">
        <v>0</v>
      </c>
      <c r="H925" s="10">
        <v>250</v>
      </c>
      <c r="I925" s="3">
        <v>45149</v>
      </c>
      <c r="J925" s="3" t="s">
        <v>2558</v>
      </c>
      <c r="K925" s="8">
        <v>4</v>
      </c>
    </row>
    <row r="926" spans="1:11" x14ac:dyDescent="0.25">
      <c r="A926" s="2" t="s">
        <v>1870</v>
      </c>
      <c r="B926" s="5" t="s">
        <v>1871</v>
      </c>
      <c r="C926" s="2" t="s">
        <v>93</v>
      </c>
      <c r="D926" s="1" t="s">
        <v>11</v>
      </c>
      <c r="E926" s="7">
        <v>1</v>
      </c>
      <c r="F926" s="12">
        <v>85</v>
      </c>
      <c r="G926" s="7">
        <v>0</v>
      </c>
      <c r="H926" s="10">
        <v>85</v>
      </c>
      <c r="I926" s="3">
        <v>45180</v>
      </c>
      <c r="J926" s="3" t="s">
        <v>2557</v>
      </c>
      <c r="K926" s="8">
        <v>3</v>
      </c>
    </row>
    <row r="927" spans="1:11" x14ac:dyDescent="0.25">
      <c r="A927" s="2" t="s">
        <v>1872</v>
      </c>
      <c r="B927" s="5" t="s">
        <v>1873</v>
      </c>
      <c r="C927" s="2" t="s">
        <v>19</v>
      </c>
      <c r="D927" s="1" t="s">
        <v>11</v>
      </c>
      <c r="E927" s="7">
        <v>1</v>
      </c>
      <c r="F927" s="12">
        <v>130</v>
      </c>
      <c r="G927" s="7">
        <v>0</v>
      </c>
      <c r="H927" s="10">
        <v>130</v>
      </c>
      <c r="I927" s="3">
        <v>45180</v>
      </c>
      <c r="J927" s="3" t="s">
        <v>2559</v>
      </c>
      <c r="K927" s="8">
        <v>1</v>
      </c>
    </row>
    <row r="928" spans="1:11" x14ac:dyDescent="0.25">
      <c r="A928" s="2" t="s">
        <v>1874</v>
      </c>
      <c r="B928" s="5" t="s">
        <v>1875</v>
      </c>
      <c r="C928" s="2" t="s">
        <v>93</v>
      </c>
      <c r="D928" s="1" t="s">
        <v>11</v>
      </c>
      <c r="E928" s="7">
        <v>1</v>
      </c>
      <c r="F928" s="12">
        <v>85</v>
      </c>
      <c r="G928" s="7">
        <v>0</v>
      </c>
      <c r="H928" s="10">
        <v>85</v>
      </c>
      <c r="I928" s="3">
        <v>45180</v>
      </c>
      <c r="J928" s="3" t="s">
        <v>2557</v>
      </c>
      <c r="K928" s="8">
        <v>4</v>
      </c>
    </row>
    <row r="929" spans="1:11" x14ac:dyDescent="0.25">
      <c r="A929" s="2" t="s">
        <v>1876</v>
      </c>
      <c r="B929" s="5" t="s">
        <v>1877</v>
      </c>
      <c r="C929" s="2" t="s">
        <v>19</v>
      </c>
      <c r="D929" s="1" t="s">
        <v>11</v>
      </c>
      <c r="E929" s="7">
        <v>1</v>
      </c>
      <c r="F929" s="12">
        <v>130</v>
      </c>
      <c r="G929" s="7">
        <v>0</v>
      </c>
      <c r="H929" s="10">
        <v>130</v>
      </c>
      <c r="I929" s="3">
        <v>45180</v>
      </c>
      <c r="J929" s="3" t="s">
        <v>2559</v>
      </c>
      <c r="K929" s="8">
        <v>4</v>
      </c>
    </row>
    <row r="930" spans="1:11" x14ac:dyDescent="0.25">
      <c r="A930" s="2" t="s">
        <v>1878</v>
      </c>
      <c r="B930" s="5" t="s">
        <v>1879</v>
      </c>
      <c r="C930" s="2" t="s">
        <v>19</v>
      </c>
      <c r="D930" s="1" t="s">
        <v>11</v>
      </c>
      <c r="E930" s="7">
        <v>1</v>
      </c>
      <c r="F930" s="12">
        <v>130</v>
      </c>
      <c r="G930" s="7">
        <v>0</v>
      </c>
      <c r="H930" s="10">
        <v>130</v>
      </c>
      <c r="I930" s="3">
        <v>45180</v>
      </c>
      <c r="J930" s="3" t="s">
        <v>2559</v>
      </c>
      <c r="K930" s="8">
        <v>3</v>
      </c>
    </row>
    <row r="931" spans="1:11" x14ac:dyDescent="0.25">
      <c r="A931" s="2" t="s">
        <v>1880</v>
      </c>
      <c r="B931" s="5" t="s">
        <v>1881</v>
      </c>
      <c r="C931" s="2" t="s">
        <v>32</v>
      </c>
      <c r="D931" s="1" t="s">
        <v>11</v>
      </c>
      <c r="E931" s="7">
        <v>1</v>
      </c>
      <c r="F931" s="12">
        <v>135</v>
      </c>
      <c r="G931" s="7">
        <v>0</v>
      </c>
      <c r="H931" s="10">
        <v>135</v>
      </c>
      <c r="I931" s="3">
        <v>45210</v>
      </c>
      <c r="J931" s="3" t="s">
        <v>2560</v>
      </c>
      <c r="K931" s="8">
        <v>4</v>
      </c>
    </row>
    <row r="932" spans="1:11" x14ac:dyDescent="0.25">
      <c r="A932" s="2" t="s">
        <v>1882</v>
      </c>
      <c r="B932" s="5" t="s">
        <v>1883</v>
      </c>
      <c r="C932" s="2" t="s">
        <v>70</v>
      </c>
      <c r="D932" s="1" t="s">
        <v>11</v>
      </c>
      <c r="E932" s="7">
        <v>2</v>
      </c>
      <c r="F932" s="12">
        <v>125</v>
      </c>
      <c r="G932" s="7">
        <v>0</v>
      </c>
      <c r="H932" s="10">
        <v>250</v>
      </c>
      <c r="I932" s="3">
        <v>45210</v>
      </c>
      <c r="J932" s="3" t="s">
        <v>2557</v>
      </c>
      <c r="K932" s="8">
        <v>1</v>
      </c>
    </row>
    <row r="933" spans="1:11" x14ac:dyDescent="0.25">
      <c r="A933" s="2" t="s">
        <v>1884</v>
      </c>
      <c r="B933" s="5" t="s">
        <v>1885</v>
      </c>
      <c r="C933" s="2" t="s">
        <v>32</v>
      </c>
      <c r="D933" s="1" t="s">
        <v>11</v>
      </c>
      <c r="E933" s="7">
        <v>1</v>
      </c>
      <c r="F933" s="12">
        <v>135</v>
      </c>
      <c r="G933" s="7">
        <v>0</v>
      </c>
      <c r="H933" s="10">
        <v>135</v>
      </c>
      <c r="I933" s="3">
        <v>45210</v>
      </c>
      <c r="J933" s="3" t="s">
        <v>2560</v>
      </c>
      <c r="K933" s="8">
        <v>4</v>
      </c>
    </row>
    <row r="934" spans="1:11" x14ac:dyDescent="0.25">
      <c r="A934" s="2" t="s">
        <v>1886</v>
      </c>
      <c r="B934" s="5" t="s">
        <v>1887</v>
      </c>
      <c r="C934" s="2" t="s">
        <v>70</v>
      </c>
      <c r="D934" s="1" t="s">
        <v>11</v>
      </c>
      <c r="E934" s="7">
        <v>2</v>
      </c>
      <c r="F934" s="12">
        <v>125</v>
      </c>
      <c r="G934" s="7">
        <v>0</v>
      </c>
      <c r="H934" s="10">
        <v>250</v>
      </c>
      <c r="I934" s="3">
        <v>45210</v>
      </c>
      <c r="J934" s="3" t="s">
        <v>2557</v>
      </c>
      <c r="K934" s="8">
        <v>2</v>
      </c>
    </row>
    <row r="935" spans="1:11" x14ac:dyDescent="0.25">
      <c r="A935" s="2" t="s">
        <v>1888</v>
      </c>
      <c r="B935" s="5" t="s">
        <v>1889</v>
      </c>
      <c r="C935" s="2" t="s">
        <v>32</v>
      </c>
      <c r="D935" s="1" t="s">
        <v>11</v>
      </c>
      <c r="E935" s="7">
        <v>1</v>
      </c>
      <c r="F935" s="12">
        <v>135</v>
      </c>
      <c r="G935" s="7">
        <v>0</v>
      </c>
      <c r="H935" s="10">
        <v>135</v>
      </c>
      <c r="I935" s="3">
        <v>45210</v>
      </c>
      <c r="J935" s="3" t="s">
        <v>2560</v>
      </c>
      <c r="K935" s="8">
        <v>4</v>
      </c>
    </row>
    <row r="936" spans="1:11" x14ac:dyDescent="0.25">
      <c r="A936" s="2" t="s">
        <v>1890</v>
      </c>
      <c r="B936" s="5" t="s">
        <v>1891</v>
      </c>
      <c r="C936" s="2" t="s">
        <v>70</v>
      </c>
      <c r="D936" s="1" t="s">
        <v>11</v>
      </c>
      <c r="E936" s="7">
        <v>2</v>
      </c>
      <c r="F936" s="12">
        <v>125</v>
      </c>
      <c r="G936" s="7">
        <v>0</v>
      </c>
      <c r="H936" s="10">
        <v>250</v>
      </c>
      <c r="I936" s="3">
        <v>45210</v>
      </c>
      <c r="J936" s="3" t="s">
        <v>2557</v>
      </c>
      <c r="K936" s="8">
        <v>1</v>
      </c>
    </row>
    <row r="937" spans="1:11" x14ac:dyDescent="0.25">
      <c r="A937" s="2" t="s">
        <v>1892</v>
      </c>
      <c r="B937" s="5" t="s">
        <v>1893</v>
      </c>
      <c r="C937" s="2" t="s">
        <v>19</v>
      </c>
      <c r="D937" s="1" t="s">
        <v>11</v>
      </c>
      <c r="E937" s="7">
        <v>1</v>
      </c>
      <c r="F937" s="12">
        <v>130</v>
      </c>
      <c r="G937" s="7">
        <v>10</v>
      </c>
      <c r="H937" s="10">
        <v>120</v>
      </c>
      <c r="I937" s="3">
        <v>45241</v>
      </c>
      <c r="J937" s="3" t="s">
        <v>2561</v>
      </c>
      <c r="K937" s="8">
        <v>1</v>
      </c>
    </row>
    <row r="938" spans="1:11" x14ac:dyDescent="0.25">
      <c r="A938" s="2" t="s">
        <v>1894</v>
      </c>
      <c r="B938" s="5" t="s">
        <v>1895</v>
      </c>
      <c r="C938" s="2" t="s">
        <v>32</v>
      </c>
      <c r="D938" s="1" t="s">
        <v>11</v>
      </c>
      <c r="E938" s="7">
        <v>1</v>
      </c>
      <c r="F938" s="12">
        <v>135</v>
      </c>
      <c r="G938" s="7">
        <v>0</v>
      </c>
      <c r="H938" s="10">
        <v>135</v>
      </c>
      <c r="I938" s="3">
        <v>45241</v>
      </c>
      <c r="J938" s="3" t="s">
        <v>2560</v>
      </c>
      <c r="K938" s="8">
        <v>4</v>
      </c>
    </row>
    <row r="939" spans="1:11" x14ac:dyDescent="0.25">
      <c r="A939" s="2" t="s">
        <v>1896</v>
      </c>
      <c r="B939" s="5" t="s">
        <v>1897</v>
      </c>
      <c r="C939" s="2" t="s">
        <v>32</v>
      </c>
      <c r="D939" s="1" t="s">
        <v>11</v>
      </c>
      <c r="E939" s="7">
        <v>1</v>
      </c>
      <c r="F939" s="12">
        <v>135</v>
      </c>
      <c r="G939" s="7">
        <v>5</v>
      </c>
      <c r="H939" s="10">
        <v>130</v>
      </c>
      <c r="I939" s="3">
        <v>45241</v>
      </c>
      <c r="J939" s="3" t="s">
        <v>2562</v>
      </c>
      <c r="K939" s="8">
        <v>4</v>
      </c>
    </row>
    <row r="940" spans="1:11" x14ac:dyDescent="0.25">
      <c r="A940" s="2" t="s">
        <v>1898</v>
      </c>
      <c r="B940" s="5" t="s">
        <v>1899</v>
      </c>
      <c r="C940" s="2" t="s">
        <v>19</v>
      </c>
      <c r="D940" s="1" t="s">
        <v>11</v>
      </c>
      <c r="E940" s="7">
        <v>1</v>
      </c>
      <c r="F940" s="12">
        <v>130</v>
      </c>
      <c r="G940" s="7">
        <v>10</v>
      </c>
      <c r="H940" s="10">
        <v>120</v>
      </c>
      <c r="I940" s="3">
        <v>45241</v>
      </c>
      <c r="J940" s="3" t="s">
        <v>2559</v>
      </c>
      <c r="K940" s="8">
        <v>3</v>
      </c>
    </row>
    <row r="941" spans="1:11" x14ac:dyDescent="0.25">
      <c r="A941" s="2" t="s">
        <v>1900</v>
      </c>
      <c r="B941" s="5" t="s">
        <v>1901</v>
      </c>
      <c r="C941" s="2" t="s">
        <v>19</v>
      </c>
      <c r="D941" s="1" t="s">
        <v>11</v>
      </c>
      <c r="E941" s="7">
        <v>1</v>
      </c>
      <c r="F941" s="12">
        <v>130</v>
      </c>
      <c r="G941" s="7">
        <v>10</v>
      </c>
      <c r="H941" s="10">
        <v>120</v>
      </c>
      <c r="I941" s="3">
        <v>45241</v>
      </c>
      <c r="J941" s="3" t="s">
        <v>2561</v>
      </c>
      <c r="K941" s="8">
        <v>4</v>
      </c>
    </row>
    <row r="942" spans="1:11" x14ac:dyDescent="0.25">
      <c r="A942" s="2" t="s">
        <v>1902</v>
      </c>
      <c r="B942" s="5" t="s">
        <v>1903</v>
      </c>
      <c r="C942" s="2" t="s">
        <v>32</v>
      </c>
      <c r="D942" s="1" t="s">
        <v>11</v>
      </c>
      <c r="E942" s="7">
        <v>1</v>
      </c>
      <c r="F942" s="12">
        <v>135</v>
      </c>
      <c r="G942" s="7">
        <v>0</v>
      </c>
      <c r="H942" s="10">
        <v>135</v>
      </c>
      <c r="I942" s="3">
        <v>45241</v>
      </c>
      <c r="J942" s="3" t="s">
        <v>2560</v>
      </c>
      <c r="K942" s="8">
        <v>2</v>
      </c>
    </row>
    <row r="943" spans="1:11" x14ac:dyDescent="0.25">
      <c r="A943" s="2" t="s">
        <v>1904</v>
      </c>
      <c r="B943" s="5" t="s">
        <v>1905</v>
      </c>
      <c r="C943" s="2" t="s">
        <v>32</v>
      </c>
      <c r="D943" s="1" t="s">
        <v>11</v>
      </c>
      <c r="E943" s="7">
        <v>1</v>
      </c>
      <c r="F943" s="12">
        <v>135</v>
      </c>
      <c r="G943" s="7">
        <v>5</v>
      </c>
      <c r="H943" s="10">
        <v>130</v>
      </c>
      <c r="I943" s="3">
        <v>45241</v>
      </c>
      <c r="J943" s="3" t="s">
        <v>2562</v>
      </c>
      <c r="K943" s="8">
        <v>4</v>
      </c>
    </row>
    <row r="944" spans="1:11" x14ac:dyDescent="0.25">
      <c r="A944" s="2" t="s">
        <v>1906</v>
      </c>
      <c r="B944" s="5" t="s">
        <v>1907</v>
      </c>
      <c r="C944" s="2" t="s">
        <v>19</v>
      </c>
      <c r="D944" s="1" t="s">
        <v>11</v>
      </c>
      <c r="E944" s="7">
        <v>1</v>
      </c>
      <c r="F944" s="12">
        <v>130</v>
      </c>
      <c r="G944" s="7">
        <v>10</v>
      </c>
      <c r="H944" s="10">
        <v>120</v>
      </c>
      <c r="I944" s="3">
        <v>45241</v>
      </c>
      <c r="J944" s="3" t="s">
        <v>2559</v>
      </c>
      <c r="K944" s="8">
        <v>3</v>
      </c>
    </row>
    <row r="945" spans="1:11" x14ac:dyDescent="0.25">
      <c r="A945" s="2" t="s">
        <v>1908</v>
      </c>
      <c r="B945" s="5" t="s">
        <v>1909</v>
      </c>
      <c r="C945" s="2" t="s">
        <v>19</v>
      </c>
      <c r="D945" s="1" t="s">
        <v>11</v>
      </c>
      <c r="E945" s="7">
        <v>1</v>
      </c>
      <c r="F945" s="12">
        <v>130</v>
      </c>
      <c r="G945" s="7">
        <v>10</v>
      </c>
      <c r="H945" s="10">
        <v>120</v>
      </c>
      <c r="I945" s="3">
        <v>45241</v>
      </c>
      <c r="J945" s="3" t="s">
        <v>2559</v>
      </c>
      <c r="K945" s="8">
        <v>1</v>
      </c>
    </row>
    <row r="946" spans="1:11" x14ac:dyDescent="0.25">
      <c r="A946" s="2" t="s">
        <v>1910</v>
      </c>
      <c r="B946" s="5" t="s">
        <v>1911</v>
      </c>
      <c r="C946" s="2" t="s">
        <v>32</v>
      </c>
      <c r="D946" s="1" t="s">
        <v>11</v>
      </c>
      <c r="E946" s="7">
        <v>1</v>
      </c>
      <c r="F946" s="12">
        <v>135</v>
      </c>
      <c r="G946" s="7">
        <v>0</v>
      </c>
      <c r="H946" s="10">
        <v>135</v>
      </c>
      <c r="I946" s="3">
        <v>45271</v>
      </c>
      <c r="J946" s="3" t="s">
        <v>2563</v>
      </c>
      <c r="K946" s="8">
        <v>2</v>
      </c>
    </row>
    <row r="947" spans="1:11" x14ac:dyDescent="0.25">
      <c r="A947" s="2" t="s">
        <v>1912</v>
      </c>
      <c r="B947" s="5" t="s">
        <v>1913</v>
      </c>
      <c r="C947" s="2" t="s">
        <v>93</v>
      </c>
      <c r="D947" s="1" t="s">
        <v>11</v>
      </c>
      <c r="E947" s="7">
        <v>1</v>
      </c>
      <c r="F947" s="12">
        <v>85</v>
      </c>
      <c r="G947" s="7">
        <v>0</v>
      </c>
      <c r="H947" s="10">
        <v>85</v>
      </c>
      <c r="I947" s="3">
        <v>45271</v>
      </c>
      <c r="J947" s="3" t="s">
        <v>2561</v>
      </c>
      <c r="K947" s="8">
        <v>2</v>
      </c>
    </row>
    <row r="948" spans="1:11" x14ac:dyDescent="0.25">
      <c r="A948" s="2" t="s">
        <v>1914</v>
      </c>
      <c r="B948" s="5" t="s">
        <v>1915</v>
      </c>
      <c r="C948" s="2" t="s">
        <v>19</v>
      </c>
      <c r="D948" s="1" t="s">
        <v>11</v>
      </c>
      <c r="E948" s="7">
        <v>1</v>
      </c>
      <c r="F948" s="12">
        <v>130</v>
      </c>
      <c r="G948" s="7">
        <v>0</v>
      </c>
      <c r="H948" s="10">
        <v>130</v>
      </c>
      <c r="I948" s="3">
        <v>45271</v>
      </c>
      <c r="J948" s="3" t="s">
        <v>2564</v>
      </c>
      <c r="K948" s="8">
        <v>3</v>
      </c>
    </row>
    <row r="949" spans="1:11" x14ac:dyDescent="0.25">
      <c r="A949" s="2" t="s">
        <v>1916</v>
      </c>
      <c r="B949" s="5" t="s">
        <v>1917</v>
      </c>
      <c r="C949" s="2" t="s">
        <v>32</v>
      </c>
      <c r="D949" s="1" t="s">
        <v>11</v>
      </c>
      <c r="E949" s="7">
        <v>1</v>
      </c>
      <c r="F949" s="12">
        <v>135</v>
      </c>
      <c r="G949" s="7">
        <v>0</v>
      </c>
      <c r="H949" s="10">
        <v>135</v>
      </c>
      <c r="I949" s="3">
        <v>45271</v>
      </c>
      <c r="J949" s="3" t="s">
        <v>2563</v>
      </c>
      <c r="K949" s="8">
        <v>3</v>
      </c>
    </row>
    <row r="950" spans="1:11" x14ac:dyDescent="0.25">
      <c r="A950" s="2" t="s">
        <v>1918</v>
      </c>
      <c r="B950" s="5" t="s">
        <v>1919</v>
      </c>
      <c r="C950" s="2" t="s">
        <v>93</v>
      </c>
      <c r="D950" s="1" t="s">
        <v>11</v>
      </c>
      <c r="E950" s="7">
        <v>1</v>
      </c>
      <c r="F950" s="12">
        <v>85</v>
      </c>
      <c r="G950" s="7">
        <v>0</v>
      </c>
      <c r="H950" s="10">
        <v>85</v>
      </c>
      <c r="I950" s="3">
        <v>45271</v>
      </c>
      <c r="J950" s="3" t="s">
        <v>2561</v>
      </c>
      <c r="K950" s="8">
        <v>3</v>
      </c>
    </row>
    <row r="951" spans="1:11" x14ac:dyDescent="0.25">
      <c r="A951" s="2" t="s">
        <v>1920</v>
      </c>
      <c r="B951" s="5" t="s">
        <v>1921</v>
      </c>
      <c r="C951" s="2" t="s">
        <v>19</v>
      </c>
      <c r="D951" s="1" t="s">
        <v>11</v>
      </c>
      <c r="E951" s="7">
        <v>1</v>
      </c>
      <c r="F951" s="12">
        <v>130</v>
      </c>
      <c r="G951" s="7">
        <v>0</v>
      </c>
      <c r="H951" s="10">
        <v>130</v>
      </c>
      <c r="I951" s="3">
        <v>45271</v>
      </c>
      <c r="J951" s="3" t="s">
        <v>2564</v>
      </c>
      <c r="K951" s="8">
        <v>3</v>
      </c>
    </row>
    <row r="952" spans="1:11" x14ac:dyDescent="0.25">
      <c r="A952" s="2" t="s">
        <v>1922</v>
      </c>
      <c r="B952" s="5" t="s">
        <v>1923</v>
      </c>
      <c r="C952" s="2" t="s">
        <v>19</v>
      </c>
      <c r="D952" s="1" t="s">
        <v>11</v>
      </c>
      <c r="E952" s="7">
        <v>1</v>
      </c>
      <c r="F952" s="12">
        <v>130</v>
      </c>
      <c r="G952" s="7">
        <v>0</v>
      </c>
      <c r="H952" s="10">
        <v>130</v>
      </c>
      <c r="I952" s="3">
        <v>45271</v>
      </c>
      <c r="J952" s="3" t="s">
        <v>2564</v>
      </c>
      <c r="K952" s="8">
        <v>1</v>
      </c>
    </row>
    <row r="953" spans="1:11" x14ac:dyDescent="0.25">
      <c r="A953" s="2" t="s">
        <v>1924</v>
      </c>
      <c r="B953" s="5" t="s">
        <v>1925</v>
      </c>
      <c r="C953" s="2" t="s">
        <v>32</v>
      </c>
      <c r="D953" s="1" t="s">
        <v>11</v>
      </c>
      <c r="E953" s="7">
        <v>2</v>
      </c>
      <c r="F953" s="12">
        <v>135</v>
      </c>
      <c r="G953" s="7">
        <v>0</v>
      </c>
      <c r="H953" s="10">
        <v>270</v>
      </c>
      <c r="I953" s="3">
        <v>45243</v>
      </c>
      <c r="J953" s="3" t="s">
        <v>2564</v>
      </c>
      <c r="K953" s="8">
        <v>1</v>
      </c>
    </row>
    <row r="954" spans="1:11" x14ac:dyDescent="0.25">
      <c r="A954" s="2" t="s">
        <v>1926</v>
      </c>
      <c r="B954" s="5" t="s">
        <v>1927</v>
      </c>
      <c r="C954" s="2" t="s">
        <v>47</v>
      </c>
      <c r="D954" s="1" t="s">
        <v>11</v>
      </c>
      <c r="E954" s="7">
        <v>1</v>
      </c>
      <c r="F954" s="12">
        <v>190</v>
      </c>
      <c r="G954" s="7">
        <v>5</v>
      </c>
      <c r="H954" s="10">
        <v>185</v>
      </c>
      <c r="I954" s="3">
        <v>45243</v>
      </c>
      <c r="J954" s="3" t="s">
        <v>2560</v>
      </c>
      <c r="K954" s="8">
        <v>4</v>
      </c>
    </row>
    <row r="955" spans="1:11" x14ac:dyDescent="0.25">
      <c r="A955" s="2" t="s">
        <v>1928</v>
      </c>
      <c r="B955" s="5" t="s">
        <v>1929</v>
      </c>
      <c r="C955" s="2" t="s">
        <v>32</v>
      </c>
      <c r="D955" s="1" t="s">
        <v>11</v>
      </c>
      <c r="E955" s="7">
        <v>1</v>
      </c>
      <c r="F955" s="12">
        <v>135</v>
      </c>
      <c r="G955" s="7">
        <v>10</v>
      </c>
      <c r="H955" s="10">
        <v>125</v>
      </c>
      <c r="I955" s="3">
        <v>45243</v>
      </c>
      <c r="J955" s="3" t="s">
        <v>2563</v>
      </c>
      <c r="K955" s="8">
        <v>3</v>
      </c>
    </row>
    <row r="956" spans="1:11" x14ac:dyDescent="0.25">
      <c r="A956" s="2" t="s">
        <v>1930</v>
      </c>
      <c r="B956" s="5" t="s">
        <v>1931</v>
      </c>
      <c r="C956" s="2" t="s">
        <v>32</v>
      </c>
      <c r="D956" s="1" t="s">
        <v>11</v>
      </c>
      <c r="E956" s="7">
        <v>2</v>
      </c>
      <c r="F956" s="12">
        <v>135</v>
      </c>
      <c r="G956" s="7">
        <v>0</v>
      </c>
      <c r="H956" s="10">
        <v>270</v>
      </c>
      <c r="I956" s="3">
        <v>45243</v>
      </c>
      <c r="J956" s="3" t="s">
        <v>2564</v>
      </c>
      <c r="K956" s="8">
        <v>2</v>
      </c>
    </row>
    <row r="957" spans="1:11" x14ac:dyDescent="0.25">
      <c r="A957" s="2" t="s">
        <v>1932</v>
      </c>
      <c r="B957" s="5" t="s">
        <v>1933</v>
      </c>
      <c r="C957" s="2" t="s">
        <v>47</v>
      </c>
      <c r="D957" s="1" t="s">
        <v>11</v>
      </c>
      <c r="E957" s="7">
        <v>1</v>
      </c>
      <c r="F957" s="12">
        <v>190</v>
      </c>
      <c r="G957" s="7">
        <v>5</v>
      </c>
      <c r="H957" s="10">
        <v>185</v>
      </c>
      <c r="I957" s="3">
        <v>45243</v>
      </c>
      <c r="J957" s="3" t="s">
        <v>2560</v>
      </c>
      <c r="K957" s="8">
        <v>2</v>
      </c>
    </row>
    <row r="958" spans="1:11" x14ac:dyDescent="0.25">
      <c r="A958" s="2" t="s">
        <v>1934</v>
      </c>
      <c r="B958" s="5" t="s">
        <v>1935</v>
      </c>
      <c r="C958" s="2" t="s">
        <v>32</v>
      </c>
      <c r="D958" s="1" t="s">
        <v>11</v>
      </c>
      <c r="E958" s="7">
        <v>1</v>
      </c>
      <c r="F958" s="12">
        <v>135</v>
      </c>
      <c r="G958" s="7">
        <v>10</v>
      </c>
      <c r="H958" s="10">
        <v>125</v>
      </c>
      <c r="I958" s="3">
        <v>45243</v>
      </c>
      <c r="J958" s="3" t="s">
        <v>2563</v>
      </c>
      <c r="K958" s="8">
        <v>2</v>
      </c>
    </row>
    <row r="959" spans="1:11" x14ac:dyDescent="0.25">
      <c r="A959" s="2" t="s">
        <v>1936</v>
      </c>
      <c r="B959" s="5" t="s">
        <v>1937</v>
      </c>
      <c r="C959" s="2" t="s">
        <v>47</v>
      </c>
      <c r="D959" s="1" t="s">
        <v>11</v>
      </c>
      <c r="E959" s="7">
        <v>1</v>
      </c>
      <c r="F959" s="12">
        <v>190</v>
      </c>
      <c r="G959" s="7">
        <v>5</v>
      </c>
      <c r="H959" s="10">
        <v>185</v>
      </c>
      <c r="I959" s="3">
        <v>45243</v>
      </c>
      <c r="J959" s="3" t="s">
        <v>2560</v>
      </c>
      <c r="K959" s="8">
        <v>4</v>
      </c>
    </row>
    <row r="960" spans="1:11" x14ac:dyDescent="0.25">
      <c r="A960" s="2" t="s">
        <v>1938</v>
      </c>
      <c r="B960" s="5" t="s">
        <v>1939</v>
      </c>
      <c r="C960" s="2" t="s">
        <v>32</v>
      </c>
      <c r="D960" s="1" t="s">
        <v>11</v>
      </c>
      <c r="E960" s="7">
        <v>1</v>
      </c>
      <c r="F960" s="12">
        <v>135</v>
      </c>
      <c r="G960" s="7">
        <v>10</v>
      </c>
      <c r="H960" s="10">
        <v>125</v>
      </c>
      <c r="I960" s="3">
        <v>45243</v>
      </c>
      <c r="J960" s="3" t="s">
        <v>2563</v>
      </c>
      <c r="K960" s="8">
        <v>4</v>
      </c>
    </row>
    <row r="961" spans="1:11" x14ac:dyDescent="0.25">
      <c r="A961" s="2" t="s">
        <v>1940</v>
      </c>
      <c r="B961" s="5" t="s">
        <v>1941</v>
      </c>
      <c r="C961" s="2" t="s">
        <v>32</v>
      </c>
      <c r="D961" s="1" t="s">
        <v>11</v>
      </c>
      <c r="E961" s="7">
        <v>2</v>
      </c>
      <c r="F961" s="12">
        <v>135</v>
      </c>
      <c r="G961" s="7">
        <v>0</v>
      </c>
      <c r="H961" s="10">
        <v>270</v>
      </c>
      <c r="I961" s="3">
        <v>45244</v>
      </c>
      <c r="J961" s="3" t="s">
        <v>2562</v>
      </c>
      <c r="K961" s="8">
        <v>3</v>
      </c>
    </row>
    <row r="962" spans="1:11" x14ac:dyDescent="0.25">
      <c r="A962" s="2" t="s">
        <v>1942</v>
      </c>
      <c r="B962" s="5" t="s">
        <v>1943</v>
      </c>
      <c r="C962" s="2" t="s">
        <v>93</v>
      </c>
      <c r="D962" s="1" t="s">
        <v>11</v>
      </c>
      <c r="E962" s="7">
        <v>1</v>
      </c>
      <c r="F962" s="12">
        <v>85</v>
      </c>
      <c r="G962" s="7">
        <v>10</v>
      </c>
      <c r="H962" s="10">
        <v>75</v>
      </c>
      <c r="I962" s="3">
        <v>45244</v>
      </c>
      <c r="J962" s="3" t="s">
        <v>2562</v>
      </c>
      <c r="K962" s="8">
        <v>2</v>
      </c>
    </row>
    <row r="963" spans="1:11" x14ac:dyDescent="0.25">
      <c r="A963" s="2" t="s">
        <v>1944</v>
      </c>
      <c r="B963" s="5" t="s">
        <v>1945</v>
      </c>
      <c r="C963" s="2" t="s">
        <v>32</v>
      </c>
      <c r="D963" s="1" t="s">
        <v>11</v>
      </c>
      <c r="E963" s="7">
        <v>2</v>
      </c>
      <c r="F963" s="12">
        <v>135</v>
      </c>
      <c r="G963" s="7">
        <v>0</v>
      </c>
      <c r="H963" s="10">
        <v>270</v>
      </c>
      <c r="I963" s="3">
        <v>45244</v>
      </c>
      <c r="J963" s="3" t="s">
        <v>2562</v>
      </c>
      <c r="K963" s="8">
        <v>3</v>
      </c>
    </row>
    <row r="964" spans="1:11" x14ac:dyDescent="0.25">
      <c r="A964" s="2" t="s">
        <v>1946</v>
      </c>
      <c r="B964" s="5" t="s">
        <v>1947</v>
      </c>
      <c r="C964" s="2" t="s">
        <v>93</v>
      </c>
      <c r="D964" s="1" t="s">
        <v>11</v>
      </c>
      <c r="E964" s="7">
        <v>1</v>
      </c>
      <c r="F964" s="12">
        <v>85</v>
      </c>
      <c r="G964" s="7">
        <v>10</v>
      </c>
      <c r="H964" s="10">
        <v>75</v>
      </c>
      <c r="I964" s="3">
        <v>45244</v>
      </c>
      <c r="J964" s="3" t="s">
        <v>2562</v>
      </c>
      <c r="K964" s="8">
        <v>3</v>
      </c>
    </row>
    <row r="965" spans="1:11" x14ac:dyDescent="0.25">
      <c r="A965" s="2" t="s">
        <v>1948</v>
      </c>
      <c r="B965" s="5" t="s">
        <v>1949</v>
      </c>
      <c r="C965" s="2" t="s">
        <v>47</v>
      </c>
      <c r="D965" s="1" t="s">
        <v>11</v>
      </c>
      <c r="E965" s="7">
        <v>1</v>
      </c>
      <c r="F965" s="12">
        <v>190</v>
      </c>
      <c r="G965" s="7">
        <v>0</v>
      </c>
      <c r="H965" s="10">
        <v>190</v>
      </c>
      <c r="I965" s="3">
        <v>45245</v>
      </c>
      <c r="J965" s="3" t="s">
        <v>2560</v>
      </c>
      <c r="K965" s="8">
        <v>1</v>
      </c>
    </row>
    <row r="966" spans="1:11" x14ac:dyDescent="0.25">
      <c r="A966" s="2" t="s">
        <v>1950</v>
      </c>
      <c r="B966" s="5" t="s">
        <v>1951</v>
      </c>
      <c r="C966" s="2" t="s">
        <v>47</v>
      </c>
      <c r="D966" s="1" t="s">
        <v>11</v>
      </c>
      <c r="E966" s="7">
        <v>1</v>
      </c>
      <c r="F966" s="12">
        <v>190</v>
      </c>
      <c r="G966" s="7">
        <v>0</v>
      </c>
      <c r="H966" s="10">
        <v>190</v>
      </c>
      <c r="I966" s="3">
        <v>45245</v>
      </c>
      <c r="J966" s="3" t="s">
        <v>2560</v>
      </c>
      <c r="K966" s="8">
        <v>2</v>
      </c>
    </row>
    <row r="967" spans="1:11" x14ac:dyDescent="0.25">
      <c r="A967" s="2" t="s">
        <v>1952</v>
      </c>
      <c r="B967" s="5" t="s">
        <v>1953</v>
      </c>
      <c r="C967" s="2" t="s">
        <v>47</v>
      </c>
      <c r="D967" s="1" t="s">
        <v>11</v>
      </c>
      <c r="E967" s="7">
        <v>1</v>
      </c>
      <c r="F967" s="12">
        <v>190</v>
      </c>
      <c r="G967" s="7">
        <v>0</v>
      </c>
      <c r="H967" s="10">
        <v>190</v>
      </c>
      <c r="I967" s="3">
        <v>45245</v>
      </c>
      <c r="J967" s="3" t="s">
        <v>2560</v>
      </c>
      <c r="K967" s="8">
        <v>3</v>
      </c>
    </row>
    <row r="968" spans="1:11" x14ac:dyDescent="0.25">
      <c r="A968" s="2" t="s">
        <v>1954</v>
      </c>
      <c r="B968" s="5" t="s">
        <v>1955</v>
      </c>
      <c r="C968" s="2" t="s">
        <v>317</v>
      </c>
      <c r="D968" s="1" t="s">
        <v>137</v>
      </c>
      <c r="E968" s="7">
        <v>1</v>
      </c>
      <c r="F968" s="12">
        <v>215</v>
      </c>
      <c r="G968" s="7">
        <v>0</v>
      </c>
      <c r="H968" s="10">
        <v>215</v>
      </c>
      <c r="I968" s="3">
        <v>45246</v>
      </c>
      <c r="J968" s="3" t="s">
        <v>2569</v>
      </c>
      <c r="K968" s="8">
        <v>1</v>
      </c>
    </row>
    <row r="969" spans="1:11" x14ac:dyDescent="0.25">
      <c r="A969" s="2" t="s">
        <v>1956</v>
      </c>
      <c r="B969" s="5" t="s">
        <v>1957</v>
      </c>
      <c r="C969" s="2" t="s">
        <v>317</v>
      </c>
      <c r="D969" s="1" t="s">
        <v>137</v>
      </c>
      <c r="E969" s="7">
        <v>1</v>
      </c>
      <c r="F969" s="12">
        <v>215</v>
      </c>
      <c r="G969" s="7">
        <v>0</v>
      </c>
      <c r="H969" s="10">
        <v>215</v>
      </c>
      <c r="I969" s="3">
        <v>45246</v>
      </c>
      <c r="J969" s="3" t="s">
        <v>2569</v>
      </c>
      <c r="K969" s="8">
        <v>2</v>
      </c>
    </row>
    <row r="970" spans="1:11" x14ac:dyDescent="0.25">
      <c r="A970" s="2" t="s">
        <v>1958</v>
      </c>
      <c r="B970" s="5" t="s">
        <v>1959</v>
      </c>
      <c r="C970" s="2" t="s">
        <v>317</v>
      </c>
      <c r="D970" s="1" t="s">
        <v>137</v>
      </c>
      <c r="E970" s="7">
        <v>1</v>
      </c>
      <c r="F970" s="12">
        <v>215</v>
      </c>
      <c r="G970" s="7">
        <v>0</v>
      </c>
      <c r="H970" s="10">
        <v>215</v>
      </c>
      <c r="I970" s="3">
        <v>45246</v>
      </c>
      <c r="J970" s="3" t="s">
        <v>2569</v>
      </c>
      <c r="K970" s="8">
        <v>4</v>
      </c>
    </row>
    <row r="971" spans="1:11" x14ac:dyDescent="0.25">
      <c r="A971" s="2" t="s">
        <v>1960</v>
      </c>
      <c r="B971" s="5" t="s">
        <v>1961</v>
      </c>
      <c r="C971" s="2" t="s">
        <v>70</v>
      </c>
      <c r="D971" s="1" t="s">
        <v>11</v>
      </c>
      <c r="E971" s="7">
        <v>2</v>
      </c>
      <c r="F971" s="12">
        <v>125</v>
      </c>
      <c r="G971" s="7">
        <v>0</v>
      </c>
      <c r="H971" s="10">
        <v>250</v>
      </c>
      <c r="I971" s="3">
        <v>45247</v>
      </c>
      <c r="J971" s="3" t="s">
        <v>2571</v>
      </c>
      <c r="K971" s="8">
        <v>4</v>
      </c>
    </row>
    <row r="972" spans="1:11" x14ac:dyDescent="0.25">
      <c r="A972" s="2" t="s">
        <v>1962</v>
      </c>
      <c r="B972" s="5" t="s">
        <v>1963</v>
      </c>
      <c r="C972" s="2" t="s">
        <v>47</v>
      </c>
      <c r="D972" s="1" t="s">
        <v>11</v>
      </c>
      <c r="E972" s="7">
        <v>1</v>
      </c>
      <c r="F972" s="12">
        <v>190</v>
      </c>
      <c r="G972" s="7">
        <v>0</v>
      </c>
      <c r="H972" s="10">
        <v>190</v>
      </c>
      <c r="I972" s="3">
        <v>45247</v>
      </c>
      <c r="J972" s="3" t="s">
        <v>2563</v>
      </c>
      <c r="K972" s="8">
        <v>2</v>
      </c>
    </row>
    <row r="973" spans="1:11" x14ac:dyDescent="0.25">
      <c r="A973" s="2" t="s">
        <v>1964</v>
      </c>
      <c r="B973" s="5" t="s">
        <v>1965</v>
      </c>
      <c r="C973" s="2" t="s">
        <v>70</v>
      </c>
      <c r="D973" s="1" t="s">
        <v>11</v>
      </c>
      <c r="E973" s="7">
        <v>2</v>
      </c>
      <c r="F973" s="12">
        <v>125</v>
      </c>
      <c r="G973" s="7">
        <v>0</v>
      </c>
      <c r="H973" s="10">
        <v>250</v>
      </c>
      <c r="I973" s="3">
        <v>45247</v>
      </c>
      <c r="J973" s="3" t="s">
        <v>2571</v>
      </c>
      <c r="K973" s="8">
        <v>2</v>
      </c>
    </row>
    <row r="974" spans="1:11" x14ac:dyDescent="0.25">
      <c r="A974" s="2" t="s">
        <v>1966</v>
      </c>
      <c r="B974" s="5" t="s">
        <v>1967</v>
      </c>
      <c r="C974" s="2" t="s">
        <v>47</v>
      </c>
      <c r="D974" s="1" t="s">
        <v>11</v>
      </c>
      <c r="E974" s="7">
        <v>1</v>
      </c>
      <c r="F974" s="12">
        <v>190</v>
      </c>
      <c r="G974" s="7">
        <v>0</v>
      </c>
      <c r="H974" s="10">
        <v>190</v>
      </c>
      <c r="I974" s="3">
        <v>45247</v>
      </c>
      <c r="J974" s="3" t="s">
        <v>2563</v>
      </c>
      <c r="K974" s="8">
        <v>3</v>
      </c>
    </row>
    <row r="975" spans="1:11" x14ac:dyDescent="0.25">
      <c r="A975" s="2" t="s">
        <v>1968</v>
      </c>
      <c r="B975" s="5" t="s">
        <v>1969</v>
      </c>
      <c r="C975" s="2" t="s">
        <v>19</v>
      </c>
      <c r="D975" s="1" t="s">
        <v>11</v>
      </c>
      <c r="E975" s="7">
        <v>1</v>
      </c>
      <c r="F975" s="12">
        <v>130</v>
      </c>
      <c r="G975" s="7">
        <v>5</v>
      </c>
      <c r="H975" s="10">
        <v>125</v>
      </c>
      <c r="I975" s="3">
        <v>45248</v>
      </c>
      <c r="J975" s="3" t="s">
        <v>2573</v>
      </c>
      <c r="K975" s="8">
        <v>2</v>
      </c>
    </row>
    <row r="976" spans="1:11" x14ac:dyDescent="0.25">
      <c r="A976" s="2" t="s">
        <v>1970</v>
      </c>
      <c r="B976" s="5" t="s">
        <v>1971</v>
      </c>
      <c r="C976" s="2" t="s">
        <v>70</v>
      </c>
      <c r="D976" s="1" t="s">
        <v>11</v>
      </c>
      <c r="E976" s="7">
        <v>1</v>
      </c>
      <c r="F976" s="12">
        <v>125</v>
      </c>
      <c r="G976" s="7">
        <v>0</v>
      </c>
      <c r="H976" s="10">
        <v>125</v>
      </c>
      <c r="I976" s="3">
        <v>45248</v>
      </c>
      <c r="J976" s="3" t="s">
        <v>2574</v>
      </c>
      <c r="K976" s="8">
        <v>4</v>
      </c>
    </row>
    <row r="977" spans="1:11" x14ac:dyDescent="0.25">
      <c r="A977" s="2" t="s">
        <v>1972</v>
      </c>
      <c r="B977" s="5" t="s">
        <v>1973</v>
      </c>
      <c r="C977" s="2" t="s">
        <v>19</v>
      </c>
      <c r="D977" s="1" t="s">
        <v>11</v>
      </c>
      <c r="E977" s="7">
        <v>1</v>
      </c>
      <c r="F977" s="12">
        <v>130</v>
      </c>
      <c r="G977" s="7">
        <v>5</v>
      </c>
      <c r="H977" s="10">
        <v>125</v>
      </c>
      <c r="I977" s="3">
        <v>45248</v>
      </c>
      <c r="J977" s="3" t="s">
        <v>2573</v>
      </c>
      <c r="K977" s="8">
        <v>2</v>
      </c>
    </row>
    <row r="978" spans="1:11" x14ac:dyDescent="0.25">
      <c r="A978" s="2" t="s">
        <v>1974</v>
      </c>
      <c r="B978" s="5" t="s">
        <v>1975</v>
      </c>
      <c r="C978" s="2" t="s">
        <v>70</v>
      </c>
      <c r="D978" s="1" t="s">
        <v>11</v>
      </c>
      <c r="E978" s="7">
        <v>1</v>
      </c>
      <c r="F978" s="12">
        <v>125</v>
      </c>
      <c r="G978" s="7">
        <v>0</v>
      </c>
      <c r="H978" s="10">
        <v>125</v>
      </c>
      <c r="I978" s="3">
        <v>45248</v>
      </c>
      <c r="J978" s="3" t="s">
        <v>2574</v>
      </c>
      <c r="K978" s="8">
        <v>2</v>
      </c>
    </row>
    <row r="979" spans="1:11" x14ac:dyDescent="0.25">
      <c r="A979" s="2" t="s">
        <v>1976</v>
      </c>
      <c r="B979" s="5" t="s">
        <v>1977</v>
      </c>
      <c r="C979" s="2" t="s">
        <v>70</v>
      </c>
      <c r="D979" s="1" t="s">
        <v>11</v>
      </c>
      <c r="E979" s="7">
        <v>1</v>
      </c>
      <c r="F979" s="12">
        <v>125</v>
      </c>
      <c r="G979" s="7">
        <v>0</v>
      </c>
      <c r="H979" s="10">
        <v>125</v>
      </c>
      <c r="I979" s="3">
        <v>45248</v>
      </c>
      <c r="J979" s="3" t="s">
        <v>2574</v>
      </c>
      <c r="K979" s="8">
        <v>3</v>
      </c>
    </row>
    <row r="980" spans="1:11" x14ac:dyDescent="0.25">
      <c r="A980" s="2" t="s">
        <v>1978</v>
      </c>
      <c r="B980" s="5" t="s">
        <v>1979</v>
      </c>
      <c r="C980" s="2" t="s">
        <v>32</v>
      </c>
      <c r="D980" s="1" t="s">
        <v>11</v>
      </c>
      <c r="E980" s="7">
        <v>2</v>
      </c>
      <c r="F980" s="12">
        <v>135</v>
      </c>
      <c r="G980" s="7">
        <v>0</v>
      </c>
      <c r="H980" s="10">
        <v>270</v>
      </c>
      <c r="I980" s="3">
        <v>45249</v>
      </c>
      <c r="J980" s="3" t="s">
        <v>2576</v>
      </c>
      <c r="K980" s="8">
        <v>4</v>
      </c>
    </row>
    <row r="981" spans="1:11" x14ac:dyDescent="0.25">
      <c r="A981" s="2" t="s">
        <v>1980</v>
      </c>
      <c r="B981" s="5" t="s">
        <v>1981</v>
      </c>
      <c r="C981" s="2" t="s">
        <v>70</v>
      </c>
      <c r="D981" s="1" t="s">
        <v>11</v>
      </c>
      <c r="E981" s="7">
        <v>1</v>
      </c>
      <c r="F981" s="12">
        <v>125</v>
      </c>
      <c r="G981" s="7">
        <v>0</v>
      </c>
      <c r="H981" s="10">
        <v>125</v>
      </c>
      <c r="I981" s="3">
        <v>45249</v>
      </c>
      <c r="J981" s="3" t="s">
        <v>2577</v>
      </c>
      <c r="K981" s="8">
        <v>3</v>
      </c>
    </row>
    <row r="982" spans="1:11" x14ac:dyDescent="0.25">
      <c r="A982" s="2" t="s">
        <v>1982</v>
      </c>
      <c r="B982" s="5" t="s">
        <v>1983</v>
      </c>
      <c r="C982" s="2" t="s">
        <v>32</v>
      </c>
      <c r="D982" s="1" t="s">
        <v>11</v>
      </c>
      <c r="E982" s="7">
        <v>2</v>
      </c>
      <c r="F982" s="12">
        <v>135</v>
      </c>
      <c r="G982" s="7">
        <v>0</v>
      </c>
      <c r="H982" s="10">
        <v>270</v>
      </c>
      <c r="I982" s="3">
        <v>45249</v>
      </c>
      <c r="J982" s="3" t="s">
        <v>2576</v>
      </c>
      <c r="K982" s="8">
        <v>3</v>
      </c>
    </row>
    <row r="983" spans="1:11" x14ac:dyDescent="0.25">
      <c r="A983" s="2" t="s">
        <v>1984</v>
      </c>
      <c r="B983" s="5" t="s">
        <v>1985</v>
      </c>
      <c r="C983" s="2" t="s">
        <v>70</v>
      </c>
      <c r="D983" s="1" t="s">
        <v>11</v>
      </c>
      <c r="E983" s="7">
        <v>1</v>
      </c>
      <c r="F983" s="12">
        <v>125</v>
      </c>
      <c r="G983" s="7">
        <v>0</v>
      </c>
      <c r="H983" s="10">
        <v>125</v>
      </c>
      <c r="I983" s="3">
        <v>45249</v>
      </c>
      <c r="J983" s="3" t="s">
        <v>2577</v>
      </c>
      <c r="K983" s="8">
        <v>2</v>
      </c>
    </row>
    <row r="984" spans="1:11" x14ac:dyDescent="0.25">
      <c r="A984" s="2" t="s">
        <v>1986</v>
      </c>
      <c r="B984" s="5" t="s">
        <v>1987</v>
      </c>
      <c r="C984" s="2" t="s">
        <v>19</v>
      </c>
      <c r="D984" s="1" t="s">
        <v>11</v>
      </c>
      <c r="E984" s="7">
        <v>2</v>
      </c>
      <c r="F984" s="12">
        <v>130</v>
      </c>
      <c r="G984" s="7">
        <v>10</v>
      </c>
      <c r="H984" s="10">
        <v>250</v>
      </c>
      <c r="I984" s="3">
        <v>45250</v>
      </c>
      <c r="J984" s="3" t="s">
        <v>2579</v>
      </c>
      <c r="K984" s="8">
        <v>3</v>
      </c>
    </row>
    <row r="985" spans="1:11" x14ac:dyDescent="0.25">
      <c r="A985" s="2" t="s">
        <v>1988</v>
      </c>
      <c r="B985" s="5" t="s">
        <v>1989</v>
      </c>
      <c r="C985" s="2" t="s">
        <v>232</v>
      </c>
      <c r="D985" s="1" t="s">
        <v>137</v>
      </c>
      <c r="E985" s="7">
        <v>2</v>
      </c>
      <c r="F985" s="12">
        <v>200</v>
      </c>
      <c r="G985" s="7">
        <v>0</v>
      </c>
      <c r="H985" s="10">
        <v>400</v>
      </c>
      <c r="I985" s="3">
        <v>45250</v>
      </c>
      <c r="J985" s="3" t="s">
        <v>2577</v>
      </c>
      <c r="K985" s="8">
        <v>3</v>
      </c>
    </row>
    <row r="986" spans="1:11" x14ac:dyDescent="0.25">
      <c r="A986" s="2" t="s">
        <v>1990</v>
      </c>
      <c r="B986" s="5" t="s">
        <v>1991</v>
      </c>
      <c r="C986" s="2" t="s">
        <v>19</v>
      </c>
      <c r="D986" s="1" t="s">
        <v>11</v>
      </c>
      <c r="E986" s="7">
        <v>2</v>
      </c>
      <c r="F986" s="12">
        <v>130</v>
      </c>
      <c r="G986" s="7">
        <v>0</v>
      </c>
      <c r="H986" s="10">
        <v>260</v>
      </c>
      <c r="I986" s="3">
        <v>45250</v>
      </c>
      <c r="J986" s="3" t="s">
        <v>2576</v>
      </c>
      <c r="K986" s="8">
        <v>3</v>
      </c>
    </row>
    <row r="987" spans="1:11" x14ac:dyDescent="0.25">
      <c r="A987" s="2" t="s">
        <v>1992</v>
      </c>
      <c r="B987" s="5" t="s">
        <v>1993</v>
      </c>
      <c r="C987" s="2" t="s">
        <v>19</v>
      </c>
      <c r="D987" s="1" t="s">
        <v>11</v>
      </c>
      <c r="E987" s="7">
        <v>2</v>
      </c>
      <c r="F987" s="12">
        <v>130</v>
      </c>
      <c r="G987" s="7">
        <v>10</v>
      </c>
      <c r="H987" s="10">
        <v>250</v>
      </c>
      <c r="I987" s="3">
        <v>45250</v>
      </c>
      <c r="J987" s="3" t="s">
        <v>2579</v>
      </c>
      <c r="K987" s="8">
        <v>1</v>
      </c>
    </row>
    <row r="988" spans="1:11" x14ac:dyDescent="0.25">
      <c r="A988" s="2" t="s">
        <v>1994</v>
      </c>
      <c r="B988" s="5" t="s">
        <v>1995</v>
      </c>
      <c r="C988" s="2" t="s">
        <v>232</v>
      </c>
      <c r="D988" s="1" t="s">
        <v>137</v>
      </c>
      <c r="E988" s="7">
        <v>2</v>
      </c>
      <c r="F988" s="12">
        <v>200</v>
      </c>
      <c r="G988" s="7">
        <v>0</v>
      </c>
      <c r="H988" s="10">
        <v>400</v>
      </c>
      <c r="I988" s="3">
        <v>45250</v>
      </c>
      <c r="J988" s="3" t="s">
        <v>2577</v>
      </c>
      <c r="K988" s="8">
        <v>1</v>
      </c>
    </row>
    <row r="989" spans="1:11" x14ac:dyDescent="0.25">
      <c r="A989" s="2" t="s">
        <v>1996</v>
      </c>
      <c r="B989" s="5" t="s">
        <v>1997</v>
      </c>
      <c r="C989" s="2" t="s">
        <v>19</v>
      </c>
      <c r="D989" s="1" t="s">
        <v>11</v>
      </c>
      <c r="E989" s="7">
        <v>2</v>
      </c>
      <c r="F989" s="12">
        <v>130</v>
      </c>
      <c r="G989" s="7">
        <v>0</v>
      </c>
      <c r="H989" s="10">
        <v>260</v>
      </c>
      <c r="I989" s="3">
        <v>45250</v>
      </c>
      <c r="J989" s="3" t="s">
        <v>2576</v>
      </c>
      <c r="K989" s="8">
        <v>1</v>
      </c>
    </row>
    <row r="990" spans="1:11" x14ac:dyDescent="0.25">
      <c r="A990" s="2" t="s">
        <v>1998</v>
      </c>
      <c r="B990" s="5" t="s">
        <v>1999</v>
      </c>
      <c r="C990" s="2" t="s">
        <v>19</v>
      </c>
      <c r="D990" s="1" t="s">
        <v>11</v>
      </c>
      <c r="E990" s="7">
        <v>1</v>
      </c>
      <c r="F990" s="12">
        <v>130</v>
      </c>
      <c r="G990" s="7">
        <v>5</v>
      </c>
      <c r="H990" s="10">
        <v>125</v>
      </c>
      <c r="I990" s="3">
        <v>45251</v>
      </c>
      <c r="J990" s="3" t="s">
        <v>2576</v>
      </c>
      <c r="K990" s="8">
        <v>3</v>
      </c>
    </row>
    <row r="991" spans="1:11" x14ac:dyDescent="0.25">
      <c r="A991" s="2" t="s">
        <v>2000</v>
      </c>
      <c r="B991" s="5" t="s">
        <v>2001</v>
      </c>
      <c r="C991" s="2" t="s">
        <v>19</v>
      </c>
      <c r="D991" s="1" t="s">
        <v>11</v>
      </c>
      <c r="E991" s="7">
        <v>1</v>
      </c>
      <c r="F991" s="12">
        <v>130</v>
      </c>
      <c r="G991" s="7">
        <v>5</v>
      </c>
      <c r="H991" s="10">
        <v>125</v>
      </c>
      <c r="I991" s="3">
        <v>45251</v>
      </c>
      <c r="J991" s="3" t="s">
        <v>2576</v>
      </c>
      <c r="K991" s="8">
        <v>1</v>
      </c>
    </row>
    <row r="992" spans="1:11" x14ac:dyDescent="0.25">
      <c r="A992" s="2" t="s">
        <v>2002</v>
      </c>
      <c r="B992" s="5" t="s">
        <v>2003</v>
      </c>
      <c r="C992" s="2" t="s">
        <v>70</v>
      </c>
      <c r="D992" s="1" t="s">
        <v>11</v>
      </c>
      <c r="E992" s="7">
        <v>3</v>
      </c>
      <c r="F992" s="12">
        <v>125</v>
      </c>
      <c r="G992" s="7">
        <v>0</v>
      </c>
      <c r="H992" s="10">
        <v>375</v>
      </c>
      <c r="I992" s="3">
        <v>45252</v>
      </c>
      <c r="J992" s="3" t="s">
        <v>2579</v>
      </c>
      <c r="K992" s="8">
        <v>1</v>
      </c>
    </row>
    <row r="993" spans="1:11" x14ac:dyDescent="0.25">
      <c r="A993" s="2" t="s">
        <v>2004</v>
      </c>
      <c r="B993" s="5" t="s">
        <v>2005</v>
      </c>
      <c r="C993" s="2" t="s">
        <v>19</v>
      </c>
      <c r="D993" s="1" t="s">
        <v>11</v>
      </c>
      <c r="E993" s="7">
        <v>1</v>
      </c>
      <c r="F993" s="12">
        <v>130</v>
      </c>
      <c r="G993" s="7">
        <v>0</v>
      </c>
      <c r="H993" s="10">
        <v>130</v>
      </c>
      <c r="I993" s="3">
        <v>45252</v>
      </c>
      <c r="J993" s="3" t="s">
        <v>2576</v>
      </c>
      <c r="K993" s="8">
        <v>3</v>
      </c>
    </row>
    <row r="994" spans="1:11" x14ac:dyDescent="0.25">
      <c r="A994" s="2" t="s">
        <v>2006</v>
      </c>
      <c r="B994" s="5" t="s">
        <v>2007</v>
      </c>
      <c r="C994" s="2" t="s">
        <v>70</v>
      </c>
      <c r="D994" s="1" t="s">
        <v>11</v>
      </c>
      <c r="E994" s="7">
        <v>3</v>
      </c>
      <c r="F994" s="12">
        <v>125</v>
      </c>
      <c r="G994" s="7">
        <v>0</v>
      </c>
      <c r="H994" s="10">
        <v>375</v>
      </c>
      <c r="I994" s="3">
        <v>45252</v>
      </c>
      <c r="J994" s="3" t="s">
        <v>2579</v>
      </c>
      <c r="K994" s="8">
        <v>3</v>
      </c>
    </row>
    <row r="995" spans="1:11" x14ac:dyDescent="0.25">
      <c r="A995" s="2" t="s">
        <v>2008</v>
      </c>
      <c r="B995" s="5" t="s">
        <v>2009</v>
      </c>
      <c r="C995" s="2" t="s">
        <v>19</v>
      </c>
      <c r="D995" s="1" t="s">
        <v>11</v>
      </c>
      <c r="E995" s="7">
        <v>1</v>
      </c>
      <c r="F995" s="12">
        <v>130</v>
      </c>
      <c r="G995" s="7">
        <v>0</v>
      </c>
      <c r="H995" s="10">
        <v>130</v>
      </c>
      <c r="I995" s="3">
        <v>45252</v>
      </c>
      <c r="J995" s="3" t="s">
        <v>2576</v>
      </c>
      <c r="K995" s="8">
        <v>2</v>
      </c>
    </row>
    <row r="996" spans="1:11" x14ac:dyDescent="0.25">
      <c r="A996" s="2" t="s">
        <v>2010</v>
      </c>
      <c r="B996" s="5" t="s">
        <v>2011</v>
      </c>
      <c r="C996" s="2" t="s">
        <v>19</v>
      </c>
      <c r="D996" s="1" t="s">
        <v>11</v>
      </c>
      <c r="E996" s="7">
        <v>1</v>
      </c>
      <c r="F996" s="12">
        <v>130</v>
      </c>
      <c r="G996" s="7">
        <v>0</v>
      </c>
      <c r="H996" s="10">
        <v>130</v>
      </c>
      <c r="I996" s="3">
        <v>45252</v>
      </c>
      <c r="J996" s="3" t="s">
        <v>2576</v>
      </c>
      <c r="K996" s="8">
        <v>2</v>
      </c>
    </row>
    <row r="997" spans="1:11" x14ac:dyDescent="0.25">
      <c r="A997" s="2" t="s">
        <v>2012</v>
      </c>
      <c r="B997" s="5" t="s">
        <v>2013</v>
      </c>
      <c r="C997" s="2" t="s">
        <v>32</v>
      </c>
      <c r="D997" s="1" t="s">
        <v>11</v>
      </c>
      <c r="E997" s="7">
        <v>1</v>
      </c>
      <c r="F997" s="12">
        <v>135</v>
      </c>
      <c r="G997" s="7">
        <v>5</v>
      </c>
      <c r="H997" s="10">
        <v>130</v>
      </c>
      <c r="I997" s="3">
        <v>45254</v>
      </c>
      <c r="J997" s="3" t="s">
        <v>2583</v>
      </c>
      <c r="K997" s="8">
        <v>4</v>
      </c>
    </row>
    <row r="998" spans="1:11" x14ac:dyDescent="0.25">
      <c r="A998" s="2" t="s">
        <v>2014</v>
      </c>
      <c r="B998" s="5" t="s">
        <v>2015</v>
      </c>
      <c r="C998" s="2" t="s">
        <v>32</v>
      </c>
      <c r="D998" s="1" t="s">
        <v>11</v>
      </c>
      <c r="E998" s="7">
        <v>1</v>
      </c>
      <c r="F998" s="12">
        <v>135</v>
      </c>
      <c r="G998" s="7">
        <v>5</v>
      </c>
      <c r="H998" s="10">
        <v>130</v>
      </c>
      <c r="I998" s="3">
        <v>45254</v>
      </c>
      <c r="J998" s="3" t="s">
        <v>2583</v>
      </c>
      <c r="K998" s="8">
        <v>2</v>
      </c>
    </row>
    <row r="999" spans="1:11" x14ac:dyDescent="0.25">
      <c r="A999" s="2" t="s">
        <v>2016</v>
      </c>
      <c r="B999" s="5" t="s">
        <v>2017</v>
      </c>
      <c r="C999" s="2" t="s">
        <v>32</v>
      </c>
      <c r="D999" s="1" t="s">
        <v>11</v>
      </c>
      <c r="E999" s="7">
        <v>1</v>
      </c>
      <c r="F999" s="12">
        <v>135</v>
      </c>
      <c r="G999" s="7">
        <v>5</v>
      </c>
      <c r="H999" s="10">
        <v>130</v>
      </c>
      <c r="I999" s="3">
        <v>45254</v>
      </c>
      <c r="J999" s="3" t="s">
        <v>2583</v>
      </c>
      <c r="K999" s="8">
        <v>4</v>
      </c>
    </row>
    <row r="1000" spans="1:11" x14ac:dyDescent="0.25">
      <c r="A1000" s="2" t="s">
        <v>2018</v>
      </c>
      <c r="B1000" s="5" t="s">
        <v>2019</v>
      </c>
      <c r="C1000" s="2" t="s">
        <v>70</v>
      </c>
      <c r="D1000" s="1" t="s">
        <v>11</v>
      </c>
      <c r="E1000" s="7">
        <v>4</v>
      </c>
      <c r="F1000" s="12">
        <v>125</v>
      </c>
      <c r="G1000" s="7">
        <v>5</v>
      </c>
      <c r="H1000" s="10">
        <v>495</v>
      </c>
      <c r="I1000" s="3">
        <v>45255</v>
      </c>
      <c r="J1000" s="3" t="s">
        <v>2585</v>
      </c>
      <c r="K1000" s="8">
        <v>4</v>
      </c>
    </row>
    <row r="1001" spans="1:11" x14ac:dyDescent="0.25">
      <c r="A1001" s="2" t="s">
        <v>2020</v>
      </c>
      <c r="B1001" s="5" t="s">
        <v>2021</v>
      </c>
      <c r="C1001" s="2" t="s">
        <v>32</v>
      </c>
      <c r="D1001" s="1" t="s">
        <v>11</v>
      </c>
      <c r="E1001" s="7">
        <v>2</v>
      </c>
      <c r="F1001" s="12">
        <v>135</v>
      </c>
      <c r="G1001" s="7">
        <v>0</v>
      </c>
      <c r="H1001" s="10">
        <v>270</v>
      </c>
      <c r="I1001" s="3">
        <v>45255</v>
      </c>
      <c r="J1001" s="3" t="s">
        <v>2586</v>
      </c>
      <c r="K1001" s="8">
        <v>2</v>
      </c>
    </row>
    <row r="1002" spans="1:11" x14ac:dyDescent="0.25">
      <c r="A1002" s="2" t="s">
        <v>2022</v>
      </c>
      <c r="B1002" s="5" t="s">
        <v>2023</v>
      </c>
      <c r="C1002" s="2" t="s">
        <v>70</v>
      </c>
      <c r="D1002" s="1" t="s">
        <v>11</v>
      </c>
      <c r="E1002" s="7">
        <v>4</v>
      </c>
      <c r="F1002" s="12">
        <v>125</v>
      </c>
      <c r="G1002" s="7">
        <v>5</v>
      </c>
      <c r="H1002" s="10">
        <v>495</v>
      </c>
      <c r="I1002" s="3">
        <v>45255</v>
      </c>
      <c r="J1002" s="3" t="s">
        <v>2585</v>
      </c>
      <c r="K1002" s="8">
        <v>2</v>
      </c>
    </row>
    <row r="1003" spans="1:11" x14ac:dyDescent="0.25">
      <c r="A1003" s="2" t="s">
        <v>2024</v>
      </c>
      <c r="B1003" s="5" t="s">
        <v>2025</v>
      </c>
      <c r="C1003" s="2" t="s">
        <v>32</v>
      </c>
      <c r="D1003" s="1" t="s">
        <v>11</v>
      </c>
      <c r="E1003" s="7">
        <v>2</v>
      </c>
      <c r="F1003" s="12">
        <v>135</v>
      </c>
      <c r="G1003" s="7">
        <v>0</v>
      </c>
      <c r="H1003" s="10">
        <v>270</v>
      </c>
      <c r="I1003" s="3">
        <v>45255</v>
      </c>
      <c r="J1003" s="3" t="s">
        <v>2586</v>
      </c>
      <c r="K1003" s="8">
        <v>1</v>
      </c>
    </row>
    <row r="1004" spans="1:11" x14ac:dyDescent="0.25">
      <c r="A1004" s="2" t="s">
        <v>2026</v>
      </c>
      <c r="B1004" s="5" t="s">
        <v>2027</v>
      </c>
      <c r="C1004" s="2" t="s">
        <v>32</v>
      </c>
      <c r="D1004" s="1" t="s">
        <v>11</v>
      </c>
      <c r="E1004" s="7">
        <v>2</v>
      </c>
      <c r="F1004" s="12">
        <v>135</v>
      </c>
      <c r="G1004" s="7">
        <v>0</v>
      </c>
      <c r="H1004" s="10">
        <v>270</v>
      </c>
      <c r="I1004" s="3">
        <v>45255</v>
      </c>
      <c r="J1004" s="3" t="s">
        <v>2586</v>
      </c>
      <c r="K1004" s="8">
        <v>4</v>
      </c>
    </row>
    <row r="1005" spans="1:11" x14ac:dyDescent="0.25">
      <c r="A1005" s="2" t="s">
        <v>2028</v>
      </c>
      <c r="B1005" s="5" t="s">
        <v>2029</v>
      </c>
      <c r="C1005" s="2" t="s">
        <v>19</v>
      </c>
      <c r="D1005" s="1" t="s">
        <v>11</v>
      </c>
      <c r="E1005" s="7">
        <v>1</v>
      </c>
      <c r="F1005" s="12">
        <v>130</v>
      </c>
      <c r="G1005" s="7">
        <v>5</v>
      </c>
      <c r="H1005" s="10">
        <v>125</v>
      </c>
      <c r="I1005" s="3">
        <v>45257</v>
      </c>
      <c r="J1005" s="3" t="s">
        <v>2586</v>
      </c>
      <c r="K1005" s="8">
        <v>1</v>
      </c>
    </row>
    <row r="1006" spans="1:11" x14ac:dyDescent="0.25">
      <c r="A1006" s="2" t="s">
        <v>2030</v>
      </c>
      <c r="B1006" s="5" t="s">
        <v>2031</v>
      </c>
      <c r="C1006" s="2" t="s">
        <v>32</v>
      </c>
      <c r="D1006" s="1" t="s">
        <v>11</v>
      </c>
      <c r="E1006" s="7">
        <v>1</v>
      </c>
      <c r="F1006" s="12">
        <v>135</v>
      </c>
      <c r="G1006" s="7">
        <v>0</v>
      </c>
      <c r="H1006" s="10">
        <v>135</v>
      </c>
      <c r="I1006" s="3">
        <v>45257</v>
      </c>
      <c r="J1006" s="3" t="s">
        <v>2588</v>
      </c>
      <c r="K1006" s="8">
        <v>1</v>
      </c>
    </row>
    <row r="1007" spans="1:11" x14ac:dyDescent="0.25">
      <c r="A1007" s="2" t="s">
        <v>2032</v>
      </c>
      <c r="B1007" s="5" t="s">
        <v>2033</v>
      </c>
      <c r="C1007" s="2" t="s">
        <v>47</v>
      </c>
      <c r="D1007" s="1" t="s">
        <v>11</v>
      </c>
      <c r="E1007" s="7">
        <v>1</v>
      </c>
      <c r="F1007" s="12">
        <v>190</v>
      </c>
      <c r="G1007" s="7">
        <v>0</v>
      </c>
      <c r="H1007" s="10">
        <v>190</v>
      </c>
      <c r="I1007" s="3">
        <v>45257</v>
      </c>
      <c r="J1007" s="3" t="s">
        <v>2586</v>
      </c>
      <c r="K1007" s="8">
        <v>2</v>
      </c>
    </row>
    <row r="1008" spans="1:11" x14ac:dyDescent="0.25">
      <c r="A1008" s="2" t="s">
        <v>2034</v>
      </c>
      <c r="B1008" s="5" t="s">
        <v>2035</v>
      </c>
      <c r="C1008" s="2" t="s">
        <v>19</v>
      </c>
      <c r="D1008" s="1" t="s">
        <v>11</v>
      </c>
      <c r="E1008" s="7">
        <v>1</v>
      </c>
      <c r="F1008" s="12">
        <v>130</v>
      </c>
      <c r="G1008" s="7">
        <v>0</v>
      </c>
      <c r="H1008" s="10">
        <v>130</v>
      </c>
      <c r="I1008" s="3">
        <v>45257</v>
      </c>
      <c r="J1008" s="3" t="s">
        <v>2586</v>
      </c>
      <c r="K1008" s="8">
        <v>4</v>
      </c>
    </row>
    <row r="1009" spans="1:11" x14ac:dyDescent="0.25">
      <c r="A1009" s="2" t="s">
        <v>2036</v>
      </c>
      <c r="B1009" s="5" t="s">
        <v>2037</v>
      </c>
      <c r="C1009" s="2" t="s">
        <v>19</v>
      </c>
      <c r="D1009" s="1" t="s">
        <v>11</v>
      </c>
      <c r="E1009" s="7">
        <v>1</v>
      </c>
      <c r="F1009" s="12">
        <v>130</v>
      </c>
      <c r="G1009" s="7">
        <v>5</v>
      </c>
      <c r="H1009" s="10">
        <v>125</v>
      </c>
      <c r="I1009" s="3">
        <v>45257</v>
      </c>
      <c r="J1009" s="3" t="s">
        <v>2586</v>
      </c>
      <c r="K1009" s="8">
        <v>1</v>
      </c>
    </row>
    <row r="1010" spans="1:11" x14ac:dyDescent="0.25">
      <c r="A1010" s="2" t="s">
        <v>2038</v>
      </c>
      <c r="B1010" s="5" t="s">
        <v>2039</v>
      </c>
      <c r="C1010" s="2" t="s">
        <v>32</v>
      </c>
      <c r="D1010" s="1" t="s">
        <v>11</v>
      </c>
      <c r="E1010" s="7">
        <v>1</v>
      </c>
      <c r="F1010" s="12">
        <v>135</v>
      </c>
      <c r="G1010" s="7">
        <v>0</v>
      </c>
      <c r="H1010" s="10">
        <v>135</v>
      </c>
      <c r="I1010" s="3">
        <v>45257</v>
      </c>
      <c r="J1010" s="3" t="s">
        <v>2588</v>
      </c>
      <c r="K1010" s="8">
        <v>4</v>
      </c>
    </row>
    <row r="1011" spans="1:11" x14ac:dyDescent="0.25">
      <c r="A1011" s="2" t="s">
        <v>2040</v>
      </c>
      <c r="B1011" s="5" t="s">
        <v>2041</v>
      </c>
      <c r="C1011" s="2" t="s">
        <v>47</v>
      </c>
      <c r="D1011" s="1" t="s">
        <v>11</v>
      </c>
      <c r="E1011" s="7">
        <v>1</v>
      </c>
      <c r="F1011" s="12">
        <v>190</v>
      </c>
      <c r="G1011" s="7">
        <v>0</v>
      </c>
      <c r="H1011" s="10">
        <v>190</v>
      </c>
      <c r="I1011" s="3">
        <v>45257</v>
      </c>
      <c r="J1011" s="3" t="s">
        <v>2586</v>
      </c>
      <c r="K1011" s="8">
        <v>2</v>
      </c>
    </row>
    <row r="1012" spans="1:11" x14ac:dyDescent="0.25">
      <c r="A1012" s="2" t="s">
        <v>2042</v>
      </c>
      <c r="B1012" s="5" t="s">
        <v>2043</v>
      </c>
      <c r="C1012" s="2" t="s">
        <v>19</v>
      </c>
      <c r="D1012" s="1" t="s">
        <v>11</v>
      </c>
      <c r="E1012" s="7">
        <v>1</v>
      </c>
      <c r="F1012" s="12">
        <v>130</v>
      </c>
      <c r="G1012" s="7">
        <v>0</v>
      </c>
      <c r="H1012" s="10">
        <v>130</v>
      </c>
      <c r="I1012" s="3">
        <v>45257</v>
      </c>
      <c r="J1012" s="3" t="s">
        <v>2586</v>
      </c>
      <c r="K1012" s="8">
        <v>2</v>
      </c>
    </row>
    <row r="1013" spans="1:11" x14ac:dyDescent="0.25">
      <c r="A1013" s="2" t="s">
        <v>2044</v>
      </c>
      <c r="B1013" s="5" t="s">
        <v>2045</v>
      </c>
      <c r="C1013" s="2" t="s">
        <v>32</v>
      </c>
      <c r="D1013" s="1" t="s">
        <v>11</v>
      </c>
      <c r="E1013" s="7">
        <v>1</v>
      </c>
      <c r="F1013" s="12">
        <v>135</v>
      </c>
      <c r="G1013" s="7">
        <v>0</v>
      </c>
      <c r="H1013" s="10">
        <v>135</v>
      </c>
      <c r="I1013" s="3">
        <v>45257</v>
      </c>
      <c r="J1013" s="3" t="s">
        <v>2588</v>
      </c>
      <c r="K1013" s="8">
        <v>1</v>
      </c>
    </row>
    <row r="1014" spans="1:11" x14ac:dyDescent="0.25">
      <c r="A1014" s="2" t="s">
        <v>2046</v>
      </c>
      <c r="B1014" s="5" t="s">
        <v>2047</v>
      </c>
      <c r="C1014" s="2" t="s">
        <v>19</v>
      </c>
      <c r="D1014" s="1" t="s">
        <v>11</v>
      </c>
      <c r="E1014" s="7">
        <v>1</v>
      </c>
      <c r="F1014" s="12">
        <v>130</v>
      </c>
      <c r="G1014" s="7">
        <v>0</v>
      </c>
      <c r="H1014" s="10">
        <v>130</v>
      </c>
      <c r="I1014" s="3">
        <v>45257</v>
      </c>
      <c r="J1014" s="3" t="s">
        <v>2586</v>
      </c>
      <c r="K1014" s="8">
        <v>2</v>
      </c>
    </row>
    <row r="1015" spans="1:11" x14ac:dyDescent="0.25">
      <c r="A1015" s="2" t="s">
        <v>2048</v>
      </c>
      <c r="B1015" s="5" t="s">
        <v>2049</v>
      </c>
      <c r="C1015" s="2" t="s">
        <v>47</v>
      </c>
      <c r="D1015" s="1" t="s">
        <v>11</v>
      </c>
      <c r="E1015" s="7">
        <v>1</v>
      </c>
      <c r="F1015" s="12">
        <v>190</v>
      </c>
      <c r="G1015" s="7">
        <v>0</v>
      </c>
      <c r="H1015" s="10">
        <v>190</v>
      </c>
      <c r="I1015" s="3">
        <v>45260</v>
      </c>
      <c r="J1015" s="3" t="s">
        <v>2590</v>
      </c>
      <c r="K1015" s="8">
        <v>2</v>
      </c>
    </row>
    <row r="1016" spans="1:11" x14ac:dyDescent="0.25">
      <c r="A1016" s="2" t="s">
        <v>2050</v>
      </c>
      <c r="B1016" s="5" t="s">
        <v>2051</v>
      </c>
      <c r="C1016" s="2" t="s">
        <v>93</v>
      </c>
      <c r="D1016" s="1" t="s">
        <v>11</v>
      </c>
      <c r="E1016" s="7">
        <v>2</v>
      </c>
      <c r="F1016" s="12">
        <v>85</v>
      </c>
      <c r="G1016" s="7">
        <v>0</v>
      </c>
      <c r="H1016" s="10">
        <v>170</v>
      </c>
      <c r="I1016" s="3">
        <v>45260</v>
      </c>
      <c r="J1016" s="3" t="s">
        <v>2588</v>
      </c>
      <c r="K1016" s="8">
        <v>1</v>
      </c>
    </row>
    <row r="1017" spans="1:11" x14ac:dyDescent="0.25">
      <c r="A1017" s="2" t="s">
        <v>2052</v>
      </c>
      <c r="B1017" s="5" t="s">
        <v>2053</v>
      </c>
      <c r="C1017" s="2" t="s">
        <v>167</v>
      </c>
      <c r="D1017" s="1" t="s">
        <v>11</v>
      </c>
      <c r="E1017" s="7">
        <v>1</v>
      </c>
      <c r="F1017" s="12">
        <v>210</v>
      </c>
      <c r="G1017" s="7">
        <v>5</v>
      </c>
      <c r="H1017" s="10">
        <v>205</v>
      </c>
      <c r="I1017" s="3">
        <v>45260</v>
      </c>
      <c r="J1017" s="3" t="s">
        <v>2591</v>
      </c>
      <c r="K1017" s="8">
        <v>3</v>
      </c>
    </row>
    <row r="1018" spans="1:11" x14ac:dyDescent="0.25">
      <c r="A1018" s="2" t="s">
        <v>2054</v>
      </c>
      <c r="B1018" s="5" t="s">
        <v>2055</v>
      </c>
      <c r="C1018" s="2" t="s">
        <v>47</v>
      </c>
      <c r="D1018" s="1" t="s">
        <v>11</v>
      </c>
      <c r="E1018" s="7">
        <v>1</v>
      </c>
      <c r="F1018" s="12">
        <v>190</v>
      </c>
      <c r="G1018" s="7">
        <v>0</v>
      </c>
      <c r="H1018" s="10">
        <v>190</v>
      </c>
      <c r="I1018" s="3">
        <v>45260</v>
      </c>
      <c r="J1018" s="3" t="s">
        <v>2590</v>
      </c>
      <c r="K1018" s="8">
        <v>2</v>
      </c>
    </row>
    <row r="1019" spans="1:11" x14ac:dyDescent="0.25">
      <c r="A1019" s="2" t="s">
        <v>2056</v>
      </c>
      <c r="B1019" s="5" t="s">
        <v>2057</v>
      </c>
      <c r="C1019" s="2" t="s">
        <v>93</v>
      </c>
      <c r="D1019" s="1" t="s">
        <v>11</v>
      </c>
      <c r="E1019" s="7">
        <v>2</v>
      </c>
      <c r="F1019" s="12">
        <v>85</v>
      </c>
      <c r="G1019" s="7">
        <v>0</v>
      </c>
      <c r="H1019" s="10">
        <v>170</v>
      </c>
      <c r="I1019" s="3">
        <v>45260</v>
      </c>
      <c r="J1019" s="3" t="s">
        <v>2588</v>
      </c>
      <c r="K1019" s="8">
        <v>2</v>
      </c>
    </row>
    <row r="1020" spans="1:11" x14ac:dyDescent="0.25">
      <c r="A1020" s="2" t="s">
        <v>2058</v>
      </c>
      <c r="B1020" s="5" t="s">
        <v>2059</v>
      </c>
      <c r="C1020" s="2" t="s">
        <v>167</v>
      </c>
      <c r="D1020" s="1" t="s">
        <v>11</v>
      </c>
      <c r="E1020" s="7">
        <v>1</v>
      </c>
      <c r="F1020" s="12">
        <v>210</v>
      </c>
      <c r="G1020" s="7">
        <v>5</v>
      </c>
      <c r="H1020" s="10">
        <v>205</v>
      </c>
      <c r="I1020" s="3">
        <v>45260</v>
      </c>
      <c r="J1020" s="3" t="s">
        <v>2591</v>
      </c>
      <c r="K1020" s="8">
        <v>3</v>
      </c>
    </row>
    <row r="1021" spans="1:11" x14ac:dyDescent="0.25">
      <c r="A1021" s="2" t="s">
        <v>2060</v>
      </c>
      <c r="B1021" s="5" t="s">
        <v>2061</v>
      </c>
      <c r="C1021" s="2" t="s">
        <v>167</v>
      </c>
      <c r="D1021" s="1" t="s">
        <v>11</v>
      </c>
      <c r="E1021" s="7">
        <v>1</v>
      </c>
      <c r="F1021" s="12">
        <v>210</v>
      </c>
      <c r="G1021" s="7">
        <v>5</v>
      </c>
      <c r="H1021" s="10">
        <v>205</v>
      </c>
      <c r="I1021" s="3">
        <v>45260</v>
      </c>
      <c r="J1021" s="3" t="s">
        <v>2591</v>
      </c>
      <c r="K1021" s="8">
        <v>3</v>
      </c>
    </row>
    <row r="1022" spans="1:11" x14ac:dyDescent="0.25">
      <c r="A1022" s="2" t="s">
        <v>2062</v>
      </c>
      <c r="B1022" s="5" t="s">
        <v>2063</v>
      </c>
      <c r="C1022" s="2" t="s">
        <v>32</v>
      </c>
      <c r="D1022" s="1" t="s">
        <v>11</v>
      </c>
      <c r="E1022" s="7">
        <v>1</v>
      </c>
      <c r="F1022" s="12">
        <v>135</v>
      </c>
      <c r="G1022" s="7">
        <v>0</v>
      </c>
      <c r="H1022" s="10">
        <v>135</v>
      </c>
      <c r="I1022" s="3">
        <v>44938</v>
      </c>
      <c r="J1022" s="3" t="s">
        <v>2592</v>
      </c>
      <c r="K1022" s="8">
        <v>2</v>
      </c>
    </row>
    <row r="1023" spans="1:11" x14ac:dyDescent="0.25">
      <c r="A1023" s="2" t="s">
        <v>2064</v>
      </c>
      <c r="B1023" s="5" t="s">
        <v>2065</v>
      </c>
      <c r="C1023" s="2" t="s">
        <v>32</v>
      </c>
      <c r="D1023" s="1" t="s">
        <v>11</v>
      </c>
      <c r="E1023" s="7">
        <v>1</v>
      </c>
      <c r="F1023" s="12">
        <v>135</v>
      </c>
      <c r="G1023" s="7">
        <v>0</v>
      </c>
      <c r="H1023" s="10">
        <v>135</v>
      </c>
      <c r="I1023" s="3">
        <v>44938</v>
      </c>
      <c r="J1023" s="3" t="s">
        <v>2592</v>
      </c>
      <c r="K1023" s="8">
        <v>1</v>
      </c>
    </row>
    <row r="1024" spans="1:11" x14ac:dyDescent="0.25">
      <c r="A1024" s="2" t="s">
        <v>2066</v>
      </c>
      <c r="B1024" s="5" t="s">
        <v>2067</v>
      </c>
      <c r="C1024" s="2" t="s">
        <v>32</v>
      </c>
      <c r="D1024" s="1" t="s">
        <v>11</v>
      </c>
      <c r="E1024" s="7">
        <v>1</v>
      </c>
      <c r="F1024" s="12">
        <v>135</v>
      </c>
      <c r="G1024" s="7">
        <v>5</v>
      </c>
      <c r="H1024" s="10">
        <v>130</v>
      </c>
      <c r="I1024" s="3">
        <v>44997</v>
      </c>
      <c r="J1024" s="3" t="s">
        <v>2591</v>
      </c>
      <c r="K1024" s="8">
        <v>1</v>
      </c>
    </row>
    <row r="1025" spans="1:11" x14ac:dyDescent="0.25">
      <c r="A1025" s="2" t="s">
        <v>2068</v>
      </c>
      <c r="B1025" s="5" t="s">
        <v>2069</v>
      </c>
      <c r="C1025" s="2" t="s">
        <v>47</v>
      </c>
      <c r="D1025" s="1" t="s">
        <v>11</v>
      </c>
      <c r="E1025" s="7">
        <v>1</v>
      </c>
      <c r="F1025" s="12">
        <v>190</v>
      </c>
      <c r="G1025" s="7">
        <v>0</v>
      </c>
      <c r="H1025" s="10">
        <v>190</v>
      </c>
      <c r="I1025" s="3">
        <v>44997</v>
      </c>
      <c r="J1025" s="3" t="s">
        <v>2593</v>
      </c>
      <c r="K1025" s="8">
        <v>1</v>
      </c>
    </row>
    <row r="1026" spans="1:11" x14ac:dyDescent="0.25">
      <c r="A1026" s="2" t="s">
        <v>2070</v>
      </c>
      <c r="B1026" s="5" t="s">
        <v>2071</v>
      </c>
      <c r="C1026" s="2" t="s">
        <v>19</v>
      </c>
      <c r="D1026" s="1" t="s">
        <v>11</v>
      </c>
      <c r="E1026" s="7">
        <v>2</v>
      </c>
      <c r="F1026" s="12">
        <v>130</v>
      </c>
      <c r="G1026" s="7">
        <v>0</v>
      </c>
      <c r="H1026" s="10">
        <v>260</v>
      </c>
      <c r="I1026" s="3">
        <v>44997</v>
      </c>
      <c r="J1026" s="3" t="s">
        <v>2590</v>
      </c>
      <c r="K1026" s="8">
        <v>3</v>
      </c>
    </row>
    <row r="1027" spans="1:11" x14ac:dyDescent="0.25">
      <c r="A1027" s="2" t="s">
        <v>2072</v>
      </c>
      <c r="B1027" s="5" t="s">
        <v>2073</v>
      </c>
      <c r="C1027" s="2" t="s">
        <v>32</v>
      </c>
      <c r="D1027" s="1" t="s">
        <v>11</v>
      </c>
      <c r="E1027" s="7">
        <v>1</v>
      </c>
      <c r="F1027" s="12">
        <v>135</v>
      </c>
      <c r="G1027" s="7">
        <v>5</v>
      </c>
      <c r="H1027" s="10">
        <v>130</v>
      </c>
      <c r="I1027" s="3">
        <v>44997</v>
      </c>
      <c r="J1027" s="3" t="s">
        <v>2591</v>
      </c>
      <c r="K1027" s="8">
        <v>3</v>
      </c>
    </row>
    <row r="1028" spans="1:11" x14ac:dyDescent="0.25">
      <c r="A1028" s="2" t="s">
        <v>2074</v>
      </c>
      <c r="B1028" s="5" t="s">
        <v>2075</v>
      </c>
      <c r="C1028" s="2" t="s">
        <v>47</v>
      </c>
      <c r="D1028" s="1" t="s">
        <v>11</v>
      </c>
      <c r="E1028" s="7">
        <v>1</v>
      </c>
      <c r="F1028" s="12">
        <v>190</v>
      </c>
      <c r="G1028" s="7">
        <v>0</v>
      </c>
      <c r="H1028" s="10">
        <v>190</v>
      </c>
      <c r="I1028" s="3">
        <v>44997</v>
      </c>
      <c r="J1028" s="3" t="s">
        <v>2593</v>
      </c>
      <c r="K1028" s="8">
        <v>1</v>
      </c>
    </row>
    <row r="1029" spans="1:11" x14ac:dyDescent="0.25">
      <c r="A1029" s="2" t="s">
        <v>2076</v>
      </c>
      <c r="B1029" s="5" t="s">
        <v>2077</v>
      </c>
      <c r="C1029" s="2" t="s">
        <v>19</v>
      </c>
      <c r="D1029" s="1" t="s">
        <v>11</v>
      </c>
      <c r="E1029" s="7">
        <v>2</v>
      </c>
      <c r="F1029" s="12">
        <v>130</v>
      </c>
      <c r="G1029" s="7">
        <v>0</v>
      </c>
      <c r="H1029" s="10">
        <v>260</v>
      </c>
      <c r="I1029" s="3">
        <v>44997</v>
      </c>
      <c r="J1029" s="3" t="s">
        <v>2590</v>
      </c>
      <c r="K1029" s="8">
        <v>2</v>
      </c>
    </row>
    <row r="1030" spans="1:11" x14ac:dyDescent="0.25">
      <c r="A1030" s="2" t="s">
        <v>2078</v>
      </c>
      <c r="B1030" s="5" t="s">
        <v>2079</v>
      </c>
      <c r="C1030" s="2" t="s">
        <v>47</v>
      </c>
      <c r="D1030" s="1" t="s">
        <v>11</v>
      </c>
      <c r="E1030" s="7">
        <v>2</v>
      </c>
      <c r="F1030" s="12">
        <v>190</v>
      </c>
      <c r="G1030" s="7">
        <v>5</v>
      </c>
      <c r="H1030" s="10">
        <v>375</v>
      </c>
      <c r="I1030" s="3">
        <v>45028</v>
      </c>
      <c r="J1030" s="3" t="s">
        <v>2594</v>
      </c>
      <c r="K1030" s="8">
        <v>1</v>
      </c>
    </row>
    <row r="1031" spans="1:11" x14ac:dyDescent="0.25">
      <c r="A1031" s="2" t="s">
        <v>2080</v>
      </c>
      <c r="B1031" s="5" t="s">
        <v>2081</v>
      </c>
      <c r="C1031" s="2" t="s">
        <v>47</v>
      </c>
      <c r="D1031" s="1" t="s">
        <v>11</v>
      </c>
      <c r="E1031" s="7">
        <v>2</v>
      </c>
      <c r="F1031" s="12">
        <v>190</v>
      </c>
      <c r="G1031" s="7">
        <v>5</v>
      </c>
      <c r="H1031" s="10">
        <v>375</v>
      </c>
      <c r="I1031" s="3">
        <v>45028</v>
      </c>
      <c r="J1031" s="3" t="s">
        <v>2594</v>
      </c>
      <c r="K1031" s="8">
        <v>1</v>
      </c>
    </row>
    <row r="1032" spans="1:11" x14ac:dyDescent="0.25">
      <c r="A1032" s="2" t="s">
        <v>2082</v>
      </c>
      <c r="B1032" s="5" t="s">
        <v>2083</v>
      </c>
      <c r="C1032" s="2" t="s">
        <v>19</v>
      </c>
      <c r="D1032" s="1" t="s">
        <v>11</v>
      </c>
      <c r="E1032" s="7">
        <v>1</v>
      </c>
      <c r="F1032" s="12">
        <v>130</v>
      </c>
      <c r="G1032" s="7">
        <v>0</v>
      </c>
      <c r="H1032" s="10">
        <v>130</v>
      </c>
      <c r="I1032" s="3">
        <v>45058</v>
      </c>
      <c r="J1032" s="3" t="s">
        <v>2595</v>
      </c>
      <c r="K1032" s="8">
        <v>3</v>
      </c>
    </row>
    <row r="1033" spans="1:11" x14ac:dyDescent="0.25">
      <c r="A1033" s="2" t="s">
        <v>2084</v>
      </c>
      <c r="B1033" s="5" t="s">
        <v>2085</v>
      </c>
      <c r="C1033" s="2" t="s">
        <v>19</v>
      </c>
      <c r="D1033" s="1" t="s">
        <v>11</v>
      </c>
      <c r="E1033" s="7">
        <v>1</v>
      </c>
      <c r="F1033" s="12">
        <v>130</v>
      </c>
      <c r="G1033" s="7">
        <v>0</v>
      </c>
      <c r="H1033" s="10">
        <v>130</v>
      </c>
      <c r="I1033" s="3">
        <v>45058</v>
      </c>
      <c r="J1033" s="3" t="s">
        <v>2595</v>
      </c>
      <c r="K1033" s="8">
        <v>4</v>
      </c>
    </row>
    <row r="1034" spans="1:11" x14ac:dyDescent="0.25">
      <c r="A1034" s="2" t="s">
        <v>2086</v>
      </c>
      <c r="B1034" s="5" t="s">
        <v>2087</v>
      </c>
      <c r="C1034" s="2" t="s">
        <v>19</v>
      </c>
      <c r="D1034" s="1" t="s">
        <v>11</v>
      </c>
      <c r="E1034" s="7">
        <v>1</v>
      </c>
      <c r="F1034" s="12">
        <v>130</v>
      </c>
      <c r="G1034" s="7">
        <v>0</v>
      </c>
      <c r="H1034" s="10">
        <v>130</v>
      </c>
      <c r="I1034" s="3">
        <v>45058</v>
      </c>
      <c r="J1034" s="3" t="s">
        <v>2595</v>
      </c>
      <c r="K1034" s="8">
        <v>4</v>
      </c>
    </row>
    <row r="1035" spans="1:11" x14ac:dyDescent="0.25">
      <c r="A1035" s="2" t="s">
        <v>2088</v>
      </c>
      <c r="B1035" s="5" t="s">
        <v>2089</v>
      </c>
      <c r="C1035" s="2" t="s">
        <v>19</v>
      </c>
      <c r="D1035" s="1" t="s">
        <v>11</v>
      </c>
      <c r="E1035" s="7">
        <v>1</v>
      </c>
      <c r="F1035" s="12">
        <v>130</v>
      </c>
      <c r="G1035" s="7">
        <v>5</v>
      </c>
      <c r="H1035" s="10">
        <v>125</v>
      </c>
      <c r="I1035" s="3">
        <v>45089</v>
      </c>
      <c r="J1035" s="3" t="s">
        <v>2594</v>
      </c>
      <c r="K1035" s="8">
        <v>4</v>
      </c>
    </row>
    <row r="1036" spans="1:11" x14ac:dyDescent="0.25">
      <c r="A1036" s="2" t="s">
        <v>2090</v>
      </c>
      <c r="B1036" s="5" t="s">
        <v>2091</v>
      </c>
      <c r="C1036" s="2" t="s">
        <v>167</v>
      </c>
      <c r="D1036" s="1" t="s">
        <v>11</v>
      </c>
      <c r="E1036" s="7">
        <v>1</v>
      </c>
      <c r="F1036" s="12">
        <v>210</v>
      </c>
      <c r="G1036" s="7">
        <v>0</v>
      </c>
      <c r="H1036" s="10">
        <v>210</v>
      </c>
      <c r="I1036" s="3">
        <v>45089</v>
      </c>
      <c r="J1036" s="3" t="s">
        <v>2596</v>
      </c>
      <c r="K1036" s="8">
        <v>1</v>
      </c>
    </row>
    <row r="1037" spans="1:11" x14ac:dyDescent="0.25">
      <c r="A1037" s="2" t="s">
        <v>2092</v>
      </c>
      <c r="B1037" s="5" t="s">
        <v>2093</v>
      </c>
      <c r="C1037" s="2" t="s">
        <v>19</v>
      </c>
      <c r="D1037" s="1" t="s">
        <v>11</v>
      </c>
      <c r="E1037" s="7">
        <v>1</v>
      </c>
      <c r="F1037" s="12">
        <v>130</v>
      </c>
      <c r="G1037" s="7">
        <v>5</v>
      </c>
      <c r="H1037" s="10">
        <v>125</v>
      </c>
      <c r="I1037" s="3">
        <v>45089</v>
      </c>
      <c r="J1037" s="3" t="s">
        <v>2594</v>
      </c>
      <c r="K1037" s="8">
        <v>3</v>
      </c>
    </row>
    <row r="1038" spans="1:11" x14ac:dyDescent="0.25">
      <c r="A1038" s="2" t="s">
        <v>2094</v>
      </c>
      <c r="B1038" s="5" t="s">
        <v>2095</v>
      </c>
      <c r="C1038" s="2" t="s">
        <v>167</v>
      </c>
      <c r="D1038" s="1" t="s">
        <v>11</v>
      </c>
      <c r="E1038" s="7">
        <v>1</v>
      </c>
      <c r="F1038" s="12">
        <v>210</v>
      </c>
      <c r="G1038" s="7">
        <v>0</v>
      </c>
      <c r="H1038" s="10">
        <v>210</v>
      </c>
      <c r="I1038" s="3">
        <v>45089</v>
      </c>
      <c r="J1038" s="3" t="s">
        <v>2596</v>
      </c>
      <c r="K1038" s="8">
        <v>4</v>
      </c>
    </row>
    <row r="1039" spans="1:11" x14ac:dyDescent="0.25">
      <c r="A1039" s="2" t="s">
        <v>2096</v>
      </c>
      <c r="B1039" s="5" t="s">
        <v>2097</v>
      </c>
      <c r="C1039" s="2" t="s">
        <v>10</v>
      </c>
      <c r="D1039" s="1" t="s">
        <v>11</v>
      </c>
      <c r="E1039" s="7">
        <v>1</v>
      </c>
      <c r="F1039" s="12">
        <v>160</v>
      </c>
      <c r="G1039" s="7">
        <v>5</v>
      </c>
      <c r="H1039" s="10">
        <v>155</v>
      </c>
      <c r="I1039" s="3">
        <v>45119</v>
      </c>
      <c r="J1039" s="3" t="s">
        <v>2597</v>
      </c>
      <c r="K1039" s="8">
        <v>1</v>
      </c>
    </row>
    <row r="1040" spans="1:11" x14ac:dyDescent="0.25">
      <c r="A1040" s="2" t="s">
        <v>2098</v>
      </c>
      <c r="B1040" s="5" t="s">
        <v>2099</v>
      </c>
      <c r="C1040" s="2" t="s">
        <v>10</v>
      </c>
      <c r="D1040" s="1" t="s">
        <v>11</v>
      </c>
      <c r="E1040" s="7">
        <v>1</v>
      </c>
      <c r="F1040" s="12">
        <v>160</v>
      </c>
      <c r="G1040" s="7">
        <v>5</v>
      </c>
      <c r="H1040" s="10">
        <v>155</v>
      </c>
      <c r="I1040" s="3">
        <v>45119</v>
      </c>
      <c r="J1040" s="3" t="s">
        <v>2597</v>
      </c>
      <c r="K1040" s="8">
        <v>2</v>
      </c>
    </row>
    <row r="1041" spans="1:11" x14ac:dyDescent="0.25">
      <c r="A1041" s="2" t="s">
        <v>2100</v>
      </c>
      <c r="B1041" s="5" t="s">
        <v>2101</v>
      </c>
      <c r="C1041" s="2" t="s">
        <v>32</v>
      </c>
      <c r="D1041" s="1" t="s">
        <v>11</v>
      </c>
      <c r="E1041" s="7">
        <v>1</v>
      </c>
      <c r="F1041" s="12">
        <v>135</v>
      </c>
      <c r="G1041" s="7">
        <v>0</v>
      </c>
      <c r="H1041" s="10">
        <v>135</v>
      </c>
      <c r="I1041" s="3">
        <v>45274</v>
      </c>
      <c r="J1041" s="3" t="s">
        <v>2599</v>
      </c>
      <c r="K1041" s="8">
        <v>1</v>
      </c>
    </row>
    <row r="1042" spans="1:11" x14ac:dyDescent="0.25">
      <c r="A1042" s="2" t="s">
        <v>2102</v>
      </c>
      <c r="B1042" s="5" t="s">
        <v>2103</v>
      </c>
      <c r="C1042" s="2" t="s">
        <v>32</v>
      </c>
      <c r="D1042" s="1" t="s">
        <v>11</v>
      </c>
      <c r="E1042" s="7">
        <v>1</v>
      </c>
      <c r="F1042" s="12">
        <v>135</v>
      </c>
      <c r="G1042" s="7">
        <v>0</v>
      </c>
      <c r="H1042" s="10">
        <v>135</v>
      </c>
      <c r="I1042" s="3">
        <v>45274</v>
      </c>
      <c r="J1042" s="3" t="s">
        <v>2599</v>
      </c>
      <c r="K1042" s="8">
        <v>4</v>
      </c>
    </row>
    <row r="1043" spans="1:11" x14ac:dyDescent="0.25">
      <c r="A1043" s="2" t="s">
        <v>2104</v>
      </c>
      <c r="B1043" s="5" t="s">
        <v>2105</v>
      </c>
      <c r="C1043" s="2" t="s">
        <v>19</v>
      </c>
      <c r="D1043" s="1" t="s">
        <v>11</v>
      </c>
      <c r="E1043" s="7">
        <v>1</v>
      </c>
      <c r="F1043" s="12">
        <v>130</v>
      </c>
      <c r="G1043" s="7">
        <v>5</v>
      </c>
      <c r="H1043" s="10">
        <v>125</v>
      </c>
      <c r="I1043" s="3">
        <v>45276</v>
      </c>
      <c r="J1043" s="3" t="s">
        <v>2601</v>
      </c>
      <c r="K1043" s="8">
        <v>4</v>
      </c>
    </row>
    <row r="1044" spans="1:11" x14ac:dyDescent="0.25">
      <c r="A1044" s="2" t="s">
        <v>2106</v>
      </c>
      <c r="B1044" s="5" t="s">
        <v>2107</v>
      </c>
      <c r="C1044" s="2" t="s">
        <v>47</v>
      </c>
      <c r="D1044" s="1" t="s">
        <v>11</v>
      </c>
      <c r="E1044" s="7">
        <v>1</v>
      </c>
      <c r="F1044" s="12">
        <v>190</v>
      </c>
      <c r="G1044" s="7">
        <v>0</v>
      </c>
      <c r="H1044" s="10">
        <v>190</v>
      </c>
      <c r="I1044" s="3">
        <v>45276</v>
      </c>
      <c r="J1044" s="3" t="s">
        <v>2602</v>
      </c>
      <c r="K1044" s="8">
        <v>1</v>
      </c>
    </row>
    <row r="1045" spans="1:11" x14ac:dyDescent="0.25">
      <c r="A1045" s="2" t="s">
        <v>2108</v>
      </c>
      <c r="B1045" s="5" t="s">
        <v>2109</v>
      </c>
      <c r="C1045" s="2" t="s">
        <v>70</v>
      </c>
      <c r="D1045" s="1" t="s">
        <v>11</v>
      </c>
      <c r="E1045" s="7">
        <v>1</v>
      </c>
      <c r="F1045" s="12">
        <v>125</v>
      </c>
      <c r="G1045" s="7">
        <v>5</v>
      </c>
      <c r="H1045" s="10">
        <v>120</v>
      </c>
      <c r="I1045" s="3">
        <v>45276</v>
      </c>
      <c r="J1045" s="3" t="s">
        <v>2603</v>
      </c>
      <c r="K1045" s="8">
        <v>1</v>
      </c>
    </row>
    <row r="1046" spans="1:11" x14ac:dyDescent="0.25">
      <c r="A1046" s="2" t="s">
        <v>2110</v>
      </c>
      <c r="B1046" s="5" t="s">
        <v>2111</v>
      </c>
      <c r="C1046" s="2" t="s">
        <v>32</v>
      </c>
      <c r="D1046" s="1" t="s">
        <v>11</v>
      </c>
      <c r="E1046" s="7">
        <v>1</v>
      </c>
      <c r="F1046" s="12">
        <v>135</v>
      </c>
      <c r="G1046" s="7">
        <v>10</v>
      </c>
      <c r="H1046" s="10">
        <v>125</v>
      </c>
      <c r="I1046" s="3">
        <v>45276</v>
      </c>
      <c r="J1046" s="3" t="s">
        <v>2604</v>
      </c>
      <c r="K1046" s="8">
        <v>3</v>
      </c>
    </row>
    <row r="1047" spans="1:11" x14ac:dyDescent="0.25">
      <c r="A1047" s="2" t="s">
        <v>2112</v>
      </c>
      <c r="B1047" s="5" t="s">
        <v>2113</v>
      </c>
      <c r="C1047" s="2" t="s">
        <v>19</v>
      </c>
      <c r="D1047" s="1" t="s">
        <v>11</v>
      </c>
      <c r="E1047" s="7">
        <v>2</v>
      </c>
      <c r="F1047" s="12">
        <v>130</v>
      </c>
      <c r="G1047" s="7">
        <v>0</v>
      </c>
      <c r="H1047" s="10">
        <v>260</v>
      </c>
      <c r="I1047" s="3">
        <v>45276</v>
      </c>
      <c r="J1047" s="3" t="s">
        <v>2605</v>
      </c>
      <c r="K1047" s="8">
        <v>3</v>
      </c>
    </row>
    <row r="1048" spans="1:11" x14ac:dyDescent="0.25">
      <c r="A1048" s="2" t="s">
        <v>2114</v>
      </c>
      <c r="B1048" s="5" t="s">
        <v>2115</v>
      </c>
      <c r="C1048" s="2" t="s">
        <v>19</v>
      </c>
      <c r="D1048" s="1" t="s">
        <v>11</v>
      </c>
      <c r="E1048" s="7">
        <v>1</v>
      </c>
      <c r="F1048" s="12">
        <v>130</v>
      </c>
      <c r="G1048" s="7">
        <v>10</v>
      </c>
      <c r="H1048" s="10">
        <v>120</v>
      </c>
      <c r="I1048" s="3">
        <v>45276</v>
      </c>
      <c r="J1048" s="3" t="s">
        <v>2601</v>
      </c>
      <c r="K1048" s="8">
        <v>1</v>
      </c>
    </row>
    <row r="1049" spans="1:11" x14ac:dyDescent="0.25">
      <c r="A1049" s="2" t="s">
        <v>2116</v>
      </c>
      <c r="B1049" s="5" t="s">
        <v>2117</v>
      </c>
      <c r="C1049" s="2" t="s">
        <v>32</v>
      </c>
      <c r="D1049" s="1" t="s">
        <v>11</v>
      </c>
      <c r="E1049" s="7">
        <v>1</v>
      </c>
      <c r="F1049" s="12">
        <v>135</v>
      </c>
      <c r="G1049" s="7">
        <v>10</v>
      </c>
      <c r="H1049" s="10">
        <v>125</v>
      </c>
      <c r="I1049" s="3">
        <v>45276</v>
      </c>
      <c r="J1049" s="3" t="s">
        <v>2601</v>
      </c>
      <c r="K1049" s="8">
        <v>4</v>
      </c>
    </row>
    <row r="1050" spans="1:11" x14ac:dyDescent="0.25">
      <c r="A1050" s="2" t="s">
        <v>2118</v>
      </c>
      <c r="B1050" s="5" t="s">
        <v>2119</v>
      </c>
      <c r="C1050" s="2" t="s">
        <v>19</v>
      </c>
      <c r="D1050" s="1" t="s">
        <v>11</v>
      </c>
      <c r="E1050" s="7">
        <v>1</v>
      </c>
      <c r="F1050" s="12">
        <v>130</v>
      </c>
      <c r="G1050" s="7">
        <v>5</v>
      </c>
      <c r="H1050" s="10">
        <v>125</v>
      </c>
      <c r="I1050" s="3">
        <v>45276</v>
      </c>
      <c r="J1050" s="3" t="s">
        <v>2601</v>
      </c>
      <c r="K1050" s="8">
        <v>1</v>
      </c>
    </row>
    <row r="1051" spans="1:11" x14ac:dyDescent="0.25">
      <c r="A1051" s="2" t="s">
        <v>2120</v>
      </c>
      <c r="B1051" s="5" t="s">
        <v>2121</v>
      </c>
      <c r="C1051" s="2" t="s">
        <v>47</v>
      </c>
      <c r="D1051" s="1" t="s">
        <v>11</v>
      </c>
      <c r="E1051" s="7">
        <v>1</v>
      </c>
      <c r="F1051" s="12">
        <v>190</v>
      </c>
      <c r="G1051" s="7">
        <v>0</v>
      </c>
      <c r="H1051" s="10">
        <v>190</v>
      </c>
      <c r="I1051" s="3">
        <v>45276</v>
      </c>
      <c r="J1051" s="3" t="s">
        <v>2602</v>
      </c>
      <c r="K1051" s="8">
        <v>2</v>
      </c>
    </row>
    <row r="1052" spans="1:11" x14ac:dyDescent="0.25">
      <c r="A1052" s="2" t="s">
        <v>2122</v>
      </c>
      <c r="B1052" s="5" t="s">
        <v>2123</v>
      </c>
      <c r="C1052" s="2" t="s">
        <v>70</v>
      </c>
      <c r="D1052" s="1" t="s">
        <v>11</v>
      </c>
      <c r="E1052" s="7">
        <v>1</v>
      </c>
      <c r="F1052" s="12">
        <v>125</v>
      </c>
      <c r="G1052" s="7">
        <v>5</v>
      </c>
      <c r="H1052" s="10">
        <v>120</v>
      </c>
      <c r="I1052" s="3">
        <v>45276</v>
      </c>
      <c r="J1052" s="3" t="s">
        <v>2603</v>
      </c>
      <c r="K1052" s="8">
        <v>3</v>
      </c>
    </row>
    <row r="1053" spans="1:11" x14ac:dyDescent="0.25">
      <c r="A1053" s="2" t="s">
        <v>2124</v>
      </c>
      <c r="B1053" s="5" t="s">
        <v>2125</v>
      </c>
      <c r="C1053" s="2" t="s">
        <v>32</v>
      </c>
      <c r="D1053" s="1" t="s">
        <v>11</v>
      </c>
      <c r="E1053" s="7">
        <v>1</v>
      </c>
      <c r="F1053" s="12">
        <v>135</v>
      </c>
      <c r="G1053" s="7">
        <v>10</v>
      </c>
      <c r="H1053" s="10">
        <v>125</v>
      </c>
      <c r="I1053" s="3">
        <v>45276</v>
      </c>
      <c r="J1053" s="3" t="s">
        <v>2604</v>
      </c>
      <c r="K1053" s="8">
        <v>3</v>
      </c>
    </row>
    <row r="1054" spans="1:11" x14ac:dyDescent="0.25">
      <c r="A1054" s="2" t="s">
        <v>2126</v>
      </c>
      <c r="B1054" s="5" t="s">
        <v>2127</v>
      </c>
      <c r="C1054" s="2" t="s">
        <v>19</v>
      </c>
      <c r="D1054" s="1" t="s">
        <v>11</v>
      </c>
      <c r="E1054" s="7">
        <v>2</v>
      </c>
      <c r="F1054" s="12">
        <v>130</v>
      </c>
      <c r="G1054" s="7">
        <v>0</v>
      </c>
      <c r="H1054" s="10">
        <v>260</v>
      </c>
      <c r="I1054" s="3">
        <v>45276</v>
      </c>
      <c r="J1054" s="3" t="s">
        <v>2605</v>
      </c>
      <c r="K1054" s="8">
        <v>3</v>
      </c>
    </row>
    <row r="1055" spans="1:11" x14ac:dyDescent="0.25">
      <c r="A1055" s="2" t="s">
        <v>2128</v>
      </c>
      <c r="B1055" s="5" t="s">
        <v>2129</v>
      </c>
      <c r="C1055" s="2" t="s">
        <v>19</v>
      </c>
      <c r="D1055" s="1" t="s">
        <v>11</v>
      </c>
      <c r="E1055" s="7">
        <v>1</v>
      </c>
      <c r="F1055" s="12">
        <v>130</v>
      </c>
      <c r="G1055" s="7">
        <v>10</v>
      </c>
      <c r="H1055" s="10">
        <v>120</v>
      </c>
      <c r="I1055" s="3">
        <v>45276</v>
      </c>
      <c r="J1055" s="3" t="s">
        <v>2601</v>
      </c>
      <c r="K1055" s="8">
        <v>1</v>
      </c>
    </row>
    <row r="1056" spans="1:11" x14ac:dyDescent="0.25">
      <c r="A1056" s="2" t="s">
        <v>2130</v>
      </c>
      <c r="B1056" s="5" t="s">
        <v>2131</v>
      </c>
      <c r="C1056" s="2" t="s">
        <v>32</v>
      </c>
      <c r="D1056" s="1" t="s">
        <v>11</v>
      </c>
      <c r="E1056" s="7">
        <v>1</v>
      </c>
      <c r="F1056" s="12">
        <v>135</v>
      </c>
      <c r="G1056" s="7">
        <v>10</v>
      </c>
      <c r="H1056" s="10">
        <v>125</v>
      </c>
      <c r="I1056" s="3">
        <v>45276</v>
      </c>
      <c r="J1056" s="3" t="s">
        <v>2601</v>
      </c>
      <c r="K1056" s="8">
        <v>4</v>
      </c>
    </row>
    <row r="1057" spans="1:11" x14ac:dyDescent="0.25">
      <c r="A1057" s="2" t="s">
        <v>2132</v>
      </c>
      <c r="B1057" s="5" t="s">
        <v>2133</v>
      </c>
      <c r="C1057" s="2" t="s">
        <v>19</v>
      </c>
      <c r="D1057" s="1" t="s">
        <v>11</v>
      </c>
      <c r="E1057" s="7">
        <v>3</v>
      </c>
      <c r="F1057" s="12">
        <v>130</v>
      </c>
      <c r="G1057" s="7">
        <v>5</v>
      </c>
      <c r="H1057" s="10">
        <v>385</v>
      </c>
      <c r="I1057" s="3">
        <v>45278</v>
      </c>
      <c r="J1057" s="3" t="s">
        <v>2607</v>
      </c>
      <c r="K1057" s="8">
        <v>2</v>
      </c>
    </row>
    <row r="1058" spans="1:11" x14ac:dyDescent="0.25">
      <c r="A1058" s="2" t="s">
        <v>2134</v>
      </c>
      <c r="B1058" s="5" t="s">
        <v>2135</v>
      </c>
      <c r="C1058" s="2" t="s">
        <v>32</v>
      </c>
      <c r="D1058" s="1" t="s">
        <v>11</v>
      </c>
      <c r="E1058" s="7">
        <v>1</v>
      </c>
      <c r="F1058" s="12">
        <v>135</v>
      </c>
      <c r="G1058" s="7">
        <v>5</v>
      </c>
      <c r="H1058" s="10">
        <v>130</v>
      </c>
      <c r="I1058" s="3">
        <v>45278</v>
      </c>
      <c r="J1058" s="3" t="s">
        <v>2604</v>
      </c>
      <c r="K1058" s="8">
        <v>3</v>
      </c>
    </row>
    <row r="1059" spans="1:11" x14ac:dyDescent="0.25">
      <c r="A1059" s="2" t="s">
        <v>2136</v>
      </c>
      <c r="B1059" s="5" t="s">
        <v>2137</v>
      </c>
      <c r="C1059" s="2" t="s">
        <v>19</v>
      </c>
      <c r="D1059" s="1" t="s">
        <v>11</v>
      </c>
      <c r="E1059" s="7">
        <v>3</v>
      </c>
      <c r="F1059" s="12">
        <v>130</v>
      </c>
      <c r="G1059" s="7">
        <v>5</v>
      </c>
      <c r="H1059" s="10">
        <v>385</v>
      </c>
      <c r="I1059" s="3">
        <v>45278</v>
      </c>
      <c r="J1059" s="3" t="s">
        <v>2607</v>
      </c>
      <c r="K1059" s="8">
        <v>3</v>
      </c>
    </row>
    <row r="1060" spans="1:11" x14ac:dyDescent="0.25">
      <c r="A1060" s="2" t="s">
        <v>2138</v>
      </c>
      <c r="B1060" s="5" t="s">
        <v>2139</v>
      </c>
      <c r="C1060" s="2" t="s">
        <v>32</v>
      </c>
      <c r="D1060" s="1" t="s">
        <v>11</v>
      </c>
      <c r="E1060" s="7">
        <v>1</v>
      </c>
      <c r="F1060" s="12">
        <v>135</v>
      </c>
      <c r="G1060" s="7">
        <v>5</v>
      </c>
      <c r="H1060" s="10">
        <v>130</v>
      </c>
      <c r="I1060" s="3">
        <v>45278</v>
      </c>
      <c r="J1060" s="3" t="s">
        <v>2604</v>
      </c>
      <c r="K1060" s="8">
        <v>4</v>
      </c>
    </row>
    <row r="1061" spans="1:11" x14ac:dyDescent="0.25">
      <c r="A1061" s="2" t="s">
        <v>2140</v>
      </c>
      <c r="B1061" s="5" t="s">
        <v>2141</v>
      </c>
      <c r="C1061" s="2" t="s">
        <v>19</v>
      </c>
      <c r="D1061" s="1" t="s">
        <v>11</v>
      </c>
      <c r="E1061" s="7">
        <v>1</v>
      </c>
      <c r="F1061" s="12">
        <v>130</v>
      </c>
      <c r="G1061" s="7">
        <v>10</v>
      </c>
      <c r="H1061" s="10">
        <v>120</v>
      </c>
      <c r="I1061" s="3">
        <v>45279</v>
      </c>
      <c r="J1061" s="3" t="s">
        <v>2602</v>
      </c>
      <c r="K1061" s="8">
        <v>2</v>
      </c>
    </row>
    <row r="1062" spans="1:11" x14ac:dyDescent="0.25">
      <c r="A1062" s="2" t="s">
        <v>2142</v>
      </c>
      <c r="B1062" s="5" t="s">
        <v>2143</v>
      </c>
      <c r="C1062" s="2" t="s">
        <v>136</v>
      </c>
      <c r="D1062" s="1" t="s">
        <v>137</v>
      </c>
      <c r="E1062" s="7">
        <v>1</v>
      </c>
      <c r="F1062" s="12">
        <v>220</v>
      </c>
      <c r="G1062" s="7">
        <v>10</v>
      </c>
      <c r="H1062" s="10">
        <v>210</v>
      </c>
      <c r="I1062" s="3">
        <v>45279</v>
      </c>
      <c r="J1062" s="3" t="s">
        <v>2609</v>
      </c>
      <c r="K1062" s="8">
        <v>1</v>
      </c>
    </row>
    <row r="1063" spans="1:11" x14ac:dyDescent="0.25">
      <c r="A1063" s="2" t="s">
        <v>2144</v>
      </c>
      <c r="B1063" s="5" t="s">
        <v>2145</v>
      </c>
      <c r="C1063" s="2" t="s">
        <v>232</v>
      </c>
      <c r="D1063" s="1" t="s">
        <v>137</v>
      </c>
      <c r="E1063" s="7">
        <v>1</v>
      </c>
      <c r="F1063" s="12">
        <v>200</v>
      </c>
      <c r="G1063" s="7">
        <v>0</v>
      </c>
      <c r="H1063" s="10">
        <v>200</v>
      </c>
      <c r="I1063" s="3">
        <v>45279</v>
      </c>
      <c r="J1063" s="3" t="s">
        <v>2610</v>
      </c>
      <c r="K1063" s="8">
        <v>1</v>
      </c>
    </row>
    <row r="1064" spans="1:11" x14ac:dyDescent="0.25">
      <c r="A1064" s="2" t="s">
        <v>2146</v>
      </c>
      <c r="B1064" s="5" t="s">
        <v>2147</v>
      </c>
      <c r="C1064" s="2" t="s">
        <v>19</v>
      </c>
      <c r="D1064" s="1" t="s">
        <v>11</v>
      </c>
      <c r="E1064" s="7">
        <v>1</v>
      </c>
      <c r="F1064" s="12">
        <v>130</v>
      </c>
      <c r="G1064" s="7">
        <v>0</v>
      </c>
      <c r="H1064" s="10">
        <v>130</v>
      </c>
      <c r="I1064" s="3">
        <v>45279</v>
      </c>
      <c r="J1064" s="3" t="s">
        <v>2609</v>
      </c>
      <c r="K1064" s="8">
        <v>4</v>
      </c>
    </row>
    <row r="1065" spans="1:11" x14ac:dyDescent="0.25">
      <c r="A1065" s="2" t="s">
        <v>2148</v>
      </c>
      <c r="B1065" s="5" t="s">
        <v>2149</v>
      </c>
      <c r="C1065" s="2" t="s">
        <v>19</v>
      </c>
      <c r="D1065" s="1" t="s">
        <v>11</v>
      </c>
      <c r="E1065" s="7">
        <v>1</v>
      </c>
      <c r="F1065" s="12">
        <v>130</v>
      </c>
      <c r="G1065" s="7">
        <v>10</v>
      </c>
      <c r="H1065" s="10">
        <v>120</v>
      </c>
      <c r="I1065" s="3">
        <v>45279</v>
      </c>
      <c r="J1065" s="3" t="s">
        <v>2602</v>
      </c>
      <c r="K1065" s="8">
        <v>4</v>
      </c>
    </row>
    <row r="1066" spans="1:11" x14ac:dyDescent="0.25">
      <c r="A1066" s="2" t="s">
        <v>2150</v>
      </c>
      <c r="B1066" s="5" t="s">
        <v>2151</v>
      </c>
      <c r="C1066" s="2" t="s">
        <v>136</v>
      </c>
      <c r="D1066" s="1" t="s">
        <v>137</v>
      </c>
      <c r="E1066" s="7">
        <v>1</v>
      </c>
      <c r="F1066" s="12">
        <v>220</v>
      </c>
      <c r="G1066" s="7">
        <v>10</v>
      </c>
      <c r="H1066" s="10">
        <v>210</v>
      </c>
      <c r="I1066" s="3">
        <v>45279</v>
      </c>
      <c r="J1066" s="3" t="s">
        <v>2609</v>
      </c>
      <c r="K1066" s="8">
        <v>2</v>
      </c>
    </row>
    <row r="1067" spans="1:11" x14ac:dyDescent="0.25">
      <c r="A1067" s="2" t="s">
        <v>2152</v>
      </c>
      <c r="B1067" s="5" t="s">
        <v>2153</v>
      </c>
      <c r="C1067" s="2" t="s">
        <v>232</v>
      </c>
      <c r="D1067" s="1" t="s">
        <v>137</v>
      </c>
      <c r="E1067" s="7">
        <v>1</v>
      </c>
      <c r="F1067" s="12">
        <v>200</v>
      </c>
      <c r="G1067" s="7">
        <v>0</v>
      </c>
      <c r="H1067" s="10">
        <v>200</v>
      </c>
      <c r="I1067" s="3">
        <v>45279</v>
      </c>
      <c r="J1067" s="3" t="s">
        <v>2610</v>
      </c>
      <c r="K1067" s="8">
        <v>2</v>
      </c>
    </row>
    <row r="1068" spans="1:11" x14ac:dyDescent="0.25">
      <c r="A1068" s="2" t="s">
        <v>2154</v>
      </c>
      <c r="B1068" s="5" t="s">
        <v>2155</v>
      </c>
      <c r="C1068" s="2" t="s">
        <v>19</v>
      </c>
      <c r="D1068" s="1" t="s">
        <v>11</v>
      </c>
      <c r="E1068" s="7">
        <v>1</v>
      </c>
      <c r="F1068" s="12">
        <v>130</v>
      </c>
      <c r="G1068" s="7">
        <v>0</v>
      </c>
      <c r="H1068" s="10">
        <v>130</v>
      </c>
      <c r="I1068" s="3">
        <v>45279</v>
      </c>
      <c r="J1068" s="3" t="s">
        <v>2609</v>
      </c>
      <c r="K1068" s="8">
        <v>3</v>
      </c>
    </row>
    <row r="1069" spans="1:11" x14ac:dyDescent="0.25">
      <c r="A1069" s="2" t="s">
        <v>2156</v>
      </c>
      <c r="B1069" s="5" t="s">
        <v>2157</v>
      </c>
      <c r="C1069" s="2" t="s">
        <v>158</v>
      </c>
      <c r="D1069" s="1" t="s">
        <v>137</v>
      </c>
      <c r="E1069" s="7">
        <v>1</v>
      </c>
      <c r="F1069" s="12">
        <v>200</v>
      </c>
      <c r="G1069" s="7">
        <v>0</v>
      </c>
      <c r="H1069" s="10">
        <v>200</v>
      </c>
      <c r="I1069" s="3">
        <v>45280</v>
      </c>
      <c r="J1069" s="3" t="s">
        <v>2612</v>
      </c>
      <c r="K1069" s="8">
        <v>4</v>
      </c>
    </row>
    <row r="1070" spans="1:11" x14ac:dyDescent="0.25">
      <c r="A1070" s="2" t="s">
        <v>2158</v>
      </c>
      <c r="B1070" s="5" t="s">
        <v>2159</v>
      </c>
      <c r="C1070" s="2" t="s">
        <v>19</v>
      </c>
      <c r="D1070" s="1" t="s">
        <v>11</v>
      </c>
      <c r="E1070" s="7">
        <v>2</v>
      </c>
      <c r="F1070" s="12">
        <v>130</v>
      </c>
      <c r="G1070" s="7">
        <v>0</v>
      </c>
      <c r="H1070" s="10">
        <v>260</v>
      </c>
      <c r="I1070" s="3">
        <v>45280</v>
      </c>
      <c r="J1070" s="3" t="s">
        <v>2612</v>
      </c>
      <c r="K1070" s="8">
        <v>3</v>
      </c>
    </row>
    <row r="1071" spans="1:11" x14ac:dyDescent="0.25">
      <c r="A1071" s="2" t="s">
        <v>2160</v>
      </c>
      <c r="B1071" s="5" t="s">
        <v>2161</v>
      </c>
      <c r="C1071" s="2" t="s">
        <v>158</v>
      </c>
      <c r="D1071" s="1" t="s">
        <v>137</v>
      </c>
      <c r="E1071" s="7">
        <v>1</v>
      </c>
      <c r="F1071" s="12">
        <v>200</v>
      </c>
      <c r="G1071" s="7">
        <v>0</v>
      </c>
      <c r="H1071" s="10">
        <v>200</v>
      </c>
      <c r="I1071" s="3">
        <v>45280</v>
      </c>
      <c r="J1071" s="3" t="s">
        <v>2612</v>
      </c>
      <c r="K1071" s="8">
        <v>1</v>
      </c>
    </row>
    <row r="1072" spans="1:11" x14ac:dyDescent="0.25">
      <c r="A1072" s="2" t="s">
        <v>2162</v>
      </c>
      <c r="B1072" s="5" t="s">
        <v>2163</v>
      </c>
      <c r="C1072" s="2" t="s">
        <v>19</v>
      </c>
      <c r="D1072" s="1" t="s">
        <v>11</v>
      </c>
      <c r="E1072" s="7">
        <v>2</v>
      </c>
      <c r="F1072" s="12">
        <v>130</v>
      </c>
      <c r="G1072" s="7">
        <v>0</v>
      </c>
      <c r="H1072" s="10">
        <v>260</v>
      </c>
      <c r="I1072" s="3">
        <v>45280</v>
      </c>
      <c r="J1072" s="3" t="s">
        <v>2612</v>
      </c>
      <c r="K1072" s="8">
        <v>1</v>
      </c>
    </row>
    <row r="1073" spans="1:11" x14ac:dyDescent="0.25">
      <c r="A1073" s="2" t="s">
        <v>2164</v>
      </c>
      <c r="B1073" s="5" t="s">
        <v>2165</v>
      </c>
      <c r="C1073" s="2" t="s">
        <v>32</v>
      </c>
      <c r="D1073" s="1" t="s">
        <v>11</v>
      </c>
      <c r="E1073" s="7">
        <v>1</v>
      </c>
      <c r="F1073" s="12">
        <v>135</v>
      </c>
      <c r="G1073" s="7">
        <v>0</v>
      </c>
      <c r="H1073" s="10">
        <v>135</v>
      </c>
      <c r="I1073" s="3">
        <v>45281</v>
      </c>
      <c r="J1073" s="3" t="s">
        <v>2610</v>
      </c>
      <c r="K1073" s="8">
        <v>1</v>
      </c>
    </row>
    <row r="1074" spans="1:11" x14ac:dyDescent="0.25">
      <c r="A1074" s="2" t="s">
        <v>2166</v>
      </c>
      <c r="B1074" s="5" t="s">
        <v>2167</v>
      </c>
      <c r="C1074" s="2" t="s">
        <v>32</v>
      </c>
      <c r="D1074" s="1" t="s">
        <v>11</v>
      </c>
      <c r="E1074" s="7">
        <v>1</v>
      </c>
      <c r="F1074" s="12">
        <v>135</v>
      </c>
      <c r="G1074" s="7">
        <v>0</v>
      </c>
      <c r="H1074" s="10">
        <v>135</v>
      </c>
      <c r="I1074" s="3">
        <v>45281</v>
      </c>
      <c r="J1074" s="3" t="s">
        <v>2610</v>
      </c>
      <c r="K1074" s="8">
        <v>3</v>
      </c>
    </row>
    <row r="1075" spans="1:11" x14ac:dyDescent="0.25">
      <c r="A1075" s="2" t="s">
        <v>2168</v>
      </c>
      <c r="B1075" s="5" t="s">
        <v>2169</v>
      </c>
      <c r="C1075" s="2" t="s">
        <v>19</v>
      </c>
      <c r="D1075" s="1" t="s">
        <v>11</v>
      </c>
      <c r="E1075" s="7">
        <v>3</v>
      </c>
      <c r="F1075" s="12">
        <v>130</v>
      </c>
      <c r="G1075" s="7">
        <v>0</v>
      </c>
      <c r="H1075" s="10">
        <v>390</v>
      </c>
      <c r="I1075" s="3">
        <v>45282</v>
      </c>
      <c r="J1075" s="3" t="s">
        <v>2612</v>
      </c>
      <c r="K1075" s="8">
        <v>3</v>
      </c>
    </row>
    <row r="1076" spans="1:11" x14ac:dyDescent="0.25">
      <c r="A1076" s="2" t="s">
        <v>2170</v>
      </c>
      <c r="B1076" s="5" t="s">
        <v>2171</v>
      </c>
      <c r="C1076" s="2" t="s">
        <v>19</v>
      </c>
      <c r="D1076" s="1" t="s">
        <v>11</v>
      </c>
      <c r="E1076" s="7">
        <v>3</v>
      </c>
      <c r="F1076" s="12">
        <v>130</v>
      </c>
      <c r="G1076" s="7">
        <v>0</v>
      </c>
      <c r="H1076" s="10">
        <v>390</v>
      </c>
      <c r="I1076" s="3">
        <v>45282</v>
      </c>
      <c r="J1076" s="3" t="s">
        <v>2612</v>
      </c>
      <c r="K1076" s="8">
        <v>4</v>
      </c>
    </row>
    <row r="1077" spans="1:11" x14ac:dyDescent="0.25">
      <c r="A1077" s="2" t="s">
        <v>2172</v>
      </c>
      <c r="B1077" s="5" t="s">
        <v>2173</v>
      </c>
      <c r="C1077" s="2" t="s">
        <v>19</v>
      </c>
      <c r="D1077" s="1" t="s">
        <v>11</v>
      </c>
      <c r="E1077" s="7">
        <v>1</v>
      </c>
      <c r="F1077" s="12">
        <v>130</v>
      </c>
      <c r="G1077" s="7">
        <v>0</v>
      </c>
      <c r="H1077" s="10">
        <v>130</v>
      </c>
      <c r="I1077" s="3">
        <v>45284</v>
      </c>
      <c r="J1077" s="3" t="s">
        <v>2610</v>
      </c>
      <c r="K1077" s="8">
        <v>3</v>
      </c>
    </row>
    <row r="1078" spans="1:11" x14ac:dyDescent="0.25">
      <c r="A1078" s="2" t="s">
        <v>2174</v>
      </c>
      <c r="B1078" s="5" t="s">
        <v>2175</v>
      </c>
      <c r="C1078" s="2" t="s">
        <v>93</v>
      </c>
      <c r="D1078" s="1" t="s">
        <v>11</v>
      </c>
      <c r="E1078" s="7">
        <v>1</v>
      </c>
      <c r="F1078" s="12">
        <v>85</v>
      </c>
      <c r="G1078" s="7">
        <v>0</v>
      </c>
      <c r="H1078" s="10">
        <v>85</v>
      </c>
      <c r="I1078" s="3">
        <v>45284</v>
      </c>
      <c r="J1078" s="3" t="s">
        <v>2612</v>
      </c>
      <c r="K1078" s="8">
        <v>3</v>
      </c>
    </row>
    <row r="1079" spans="1:11" x14ac:dyDescent="0.25">
      <c r="A1079" s="2" t="s">
        <v>2176</v>
      </c>
      <c r="B1079" s="5" t="s">
        <v>2177</v>
      </c>
      <c r="C1079" s="2" t="s">
        <v>317</v>
      </c>
      <c r="D1079" s="1" t="s">
        <v>137</v>
      </c>
      <c r="E1079" s="7">
        <v>1</v>
      </c>
      <c r="F1079" s="12">
        <v>215</v>
      </c>
      <c r="G1079" s="7">
        <v>5</v>
      </c>
      <c r="H1079" s="10">
        <v>210</v>
      </c>
      <c r="I1079" s="3">
        <v>45284</v>
      </c>
      <c r="J1079" s="3" t="s">
        <v>2616</v>
      </c>
      <c r="K1079" s="8">
        <v>2</v>
      </c>
    </row>
    <row r="1080" spans="1:11" x14ac:dyDescent="0.25">
      <c r="A1080" s="2" t="s">
        <v>2178</v>
      </c>
      <c r="B1080" s="5" t="s">
        <v>2179</v>
      </c>
      <c r="C1080" s="2" t="s">
        <v>19</v>
      </c>
      <c r="D1080" s="1" t="s">
        <v>11</v>
      </c>
      <c r="E1080" s="7">
        <v>1</v>
      </c>
      <c r="F1080" s="12">
        <v>130</v>
      </c>
      <c r="G1080" s="7">
        <v>0</v>
      </c>
      <c r="H1080" s="10">
        <v>130</v>
      </c>
      <c r="I1080" s="3">
        <v>45284</v>
      </c>
      <c r="J1080" s="3" t="s">
        <v>2610</v>
      </c>
      <c r="K1080" s="8">
        <v>4</v>
      </c>
    </row>
    <row r="1081" spans="1:11" x14ac:dyDescent="0.25">
      <c r="A1081" s="2" t="s">
        <v>2180</v>
      </c>
      <c r="B1081" s="5" t="s">
        <v>2181</v>
      </c>
      <c r="C1081" s="2" t="s">
        <v>93</v>
      </c>
      <c r="D1081" s="1" t="s">
        <v>11</v>
      </c>
      <c r="E1081" s="7">
        <v>1</v>
      </c>
      <c r="F1081" s="12">
        <v>85</v>
      </c>
      <c r="G1081" s="7">
        <v>0</v>
      </c>
      <c r="H1081" s="10">
        <v>85</v>
      </c>
      <c r="I1081" s="3">
        <v>45284</v>
      </c>
      <c r="J1081" s="3" t="s">
        <v>2612</v>
      </c>
      <c r="K1081" s="8">
        <v>3</v>
      </c>
    </row>
    <row r="1082" spans="1:11" x14ac:dyDescent="0.25">
      <c r="A1082" s="2" t="s">
        <v>2182</v>
      </c>
      <c r="B1082" s="5" t="s">
        <v>2183</v>
      </c>
      <c r="C1082" s="2" t="s">
        <v>317</v>
      </c>
      <c r="D1082" s="1" t="s">
        <v>137</v>
      </c>
      <c r="E1082" s="7">
        <v>1</v>
      </c>
      <c r="F1082" s="12">
        <v>215</v>
      </c>
      <c r="G1082" s="7">
        <v>5</v>
      </c>
      <c r="H1082" s="10">
        <v>210</v>
      </c>
      <c r="I1082" s="3">
        <v>45284</v>
      </c>
      <c r="J1082" s="3" t="s">
        <v>2616</v>
      </c>
      <c r="K1082" s="8">
        <v>4</v>
      </c>
    </row>
    <row r="1083" spans="1:11" x14ac:dyDescent="0.25">
      <c r="A1083" s="2" t="s">
        <v>2184</v>
      </c>
      <c r="B1083" s="5" t="s">
        <v>2185</v>
      </c>
      <c r="C1083" s="2" t="s">
        <v>47</v>
      </c>
      <c r="D1083" s="1" t="s">
        <v>11</v>
      </c>
      <c r="E1083" s="7">
        <v>1</v>
      </c>
      <c r="F1083" s="12">
        <v>190</v>
      </c>
      <c r="G1083" s="7">
        <v>5</v>
      </c>
      <c r="H1083" s="10">
        <v>185</v>
      </c>
      <c r="I1083" s="3">
        <v>45287</v>
      </c>
      <c r="J1083" s="3" t="s">
        <v>2616</v>
      </c>
      <c r="K1083" s="8">
        <v>4</v>
      </c>
    </row>
    <row r="1084" spans="1:11" x14ac:dyDescent="0.25">
      <c r="A1084" s="2" t="s">
        <v>2186</v>
      </c>
      <c r="B1084" s="5" t="s">
        <v>2187</v>
      </c>
      <c r="C1084" s="2" t="s">
        <v>47</v>
      </c>
      <c r="D1084" s="1" t="s">
        <v>11</v>
      </c>
      <c r="E1084" s="7">
        <v>1</v>
      </c>
      <c r="F1084" s="12">
        <v>190</v>
      </c>
      <c r="G1084" s="7">
        <v>5</v>
      </c>
      <c r="H1084" s="10">
        <v>185</v>
      </c>
      <c r="I1084" s="3">
        <v>45287</v>
      </c>
      <c r="J1084" s="3" t="s">
        <v>2616</v>
      </c>
      <c r="K1084" s="8">
        <v>1</v>
      </c>
    </row>
    <row r="1085" spans="1:11" x14ac:dyDescent="0.25">
      <c r="E1085" s="8">
        <f>SUM(E2:E1084)</f>
        <v>1538</v>
      </c>
      <c r="F1085" s="13">
        <f>SUM(F2:F1084)</f>
        <v>156295</v>
      </c>
      <c r="G1085" s="8">
        <f>SUM(G2:G1084)</f>
        <v>2940</v>
      </c>
      <c r="H1085" s="11">
        <f>AVERAGE(H2:H1084)</f>
        <v>202.65927977839334</v>
      </c>
    </row>
  </sheetData>
  <autoFilter ref="A1:K108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00"/>
  <sheetViews>
    <sheetView tabSelected="1" zoomScaleNormal="100" workbookViewId="0">
      <selection activeCell="C106" sqref="C106"/>
    </sheetView>
  </sheetViews>
  <sheetFormatPr defaultRowHeight="15" x14ac:dyDescent="0.25"/>
  <cols>
    <col min="1" max="1" width="20.5703125" customWidth="1"/>
    <col min="2" max="3" width="24.5703125" customWidth="1"/>
    <col min="4" max="10" width="9.140625" customWidth="1"/>
    <col min="11" max="11" width="10.140625" customWidth="1"/>
    <col min="12" max="13" width="11.140625" customWidth="1"/>
    <col min="14" max="19" width="10.140625" customWidth="1"/>
    <col min="20" max="21" width="11.140625" customWidth="1"/>
    <col min="22" max="27" width="10.140625" customWidth="1"/>
    <col min="28" max="29" width="11.140625" customWidth="1"/>
    <col min="30" max="33" width="10.140625" customWidth="1"/>
    <col min="34" max="35" width="11.140625" customWidth="1"/>
    <col min="36" max="42" width="10.140625" customWidth="1"/>
    <col min="43" max="44" width="11.140625" customWidth="1"/>
    <col min="45" max="53" width="10.140625" customWidth="1"/>
    <col min="54" max="54" width="11.140625" customWidth="1"/>
    <col min="55" max="61" width="10.140625" customWidth="1"/>
    <col min="62" max="63" width="11.140625" customWidth="1"/>
    <col min="64" max="70" width="10.140625" customWidth="1"/>
    <col min="71" max="71" width="11.140625" customWidth="1"/>
    <col min="72" max="79" width="10.140625" customWidth="1"/>
    <col min="80" max="81" width="11.140625" customWidth="1"/>
    <col min="82" max="88" width="10.140625" customWidth="1"/>
    <col min="89" max="90" width="11.140625" customWidth="1"/>
    <col min="91" max="97" width="10.140625" customWidth="1"/>
    <col min="98" max="103" width="9.140625" customWidth="1"/>
    <col min="104" max="104" width="10.140625" customWidth="1"/>
    <col min="105" max="107" width="11.140625" customWidth="1"/>
    <col min="108" max="113" width="10.140625" customWidth="1"/>
    <col min="114" max="116" width="11.140625" customWidth="1"/>
    <col min="117" max="123" width="10.140625" customWidth="1"/>
    <col min="124" max="126" width="11.140625" customWidth="1"/>
    <col min="127" max="132" width="10.140625" customWidth="1"/>
    <col min="133" max="135" width="11.140625" customWidth="1"/>
    <col min="136" max="144" width="10.140625" customWidth="1"/>
    <col min="145" max="146" width="11.140625" customWidth="1"/>
    <col min="147" max="153" width="10.140625" customWidth="1"/>
    <col min="154" max="156" width="11.140625" customWidth="1"/>
    <col min="157" max="164" width="10.140625" customWidth="1"/>
    <col min="165" max="167" width="11.140625" customWidth="1"/>
    <col min="168" max="172" width="10.140625" customWidth="1"/>
    <col min="173" max="174" width="11.140625" customWidth="1"/>
    <col min="175" max="178" width="10.140625" customWidth="1"/>
    <col min="179" max="180" width="11.140625" customWidth="1"/>
    <col min="181" max="188" width="10.140625" customWidth="1"/>
    <col min="189" max="191" width="11.140625" customWidth="1"/>
    <col min="192" max="199" width="10.140625" customWidth="1"/>
    <col min="200" max="204" width="9.140625" customWidth="1"/>
    <col min="205" max="205" width="10.140625" customWidth="1"/>
    <col min="206" max="207" width="11.140625" customWidth="1"/>
    <col min="208" max="213" width="10.140625" customWidth="1"/>
    <col min="214" max="214" width="11.140625" customWidth="1"/>
    <col min="215" max="219" width="10.140625" customWidth="1"/>
    <col min="220" max="225" width="9.140625" customWidth="1"/>
    <col min="226" max="228" width="10.140625" customWidth="1"/>
    <col min="229" max="236" width="9.140625" customWidth="1"/>
    <col min="237" max="238" width="10.140625" customWidth="1"/>
    <col min="239" max="245" width="9.140625" customWidth="1"/>
    <col min="246" max="247" width="10.140625" customWidth="1"/>
    <col min="248" max="252" width="9.140625" customWidth="1"/>
    <col min="253" max="255" width="10.140625" customWidth="1"/>
    <col min="256" max="261" width="9.140625" customWidth="1"/>
    <col min="262" max="262" width="10.140625" customWidth="1"/>
    <col min="263" max="267" width="9.140625" customWidth="1"/>
    <col min="268" max="268" width="7.28515625" customWidth="1"/>
    <col min="269" max="269" width="11.28515625" customWidth="1"/>
    <col min="270" max="270" width="16.140625" bestFit="1" customWidth="1"/>
    <col min="271" max="271" width="13" bestFit="1" customWidth="1"/>
    <col min="272" max="272" width="16.140625" bestFit="1" customWidth="1"/>
    <col min="273" max="274" width="13" bestFit="1" customWidth="1"/>
    <col min="275" max="275" width="16.140625" bestFit="1" customWidth="1"/>
    <col min="276" max="276" width="12" bestFit="1" customWidth="1"/>
    <col min="277" max="277" width="15.140625" bestFit="1" customWidth="1"/>
    <col min="278" max="278" width="12" bestFit="1" customWidth="1"/>
    <col min="279" max="279" width="15.140625" bestFit="1" customWidth="1"/>
    <col min="280" max="281" width="12" bestFit="1" customWidth="1"/>
    <col min="282" max="282" width="15.140625" bestFit="1" customWidth="1"/>
    <col min="283" max="284" width="12" bestFit="1" customWidth="1"/>
    <col min="285" max="285" width="15.140625" bestFit="1" customWidth="1"/>
    <col min="286" max="286" width="12" bestFit="1" customWidth="1"/>
    <col min="287" max="287" width="15.140625" bestFit="1" customWidth="1"/>
    <col min="288" max="289" width="12" bestFit="1" customWidth="1"/>
    <col min="290" max="290" width="15.140625" bestFit="1" customWidth="1"/>
    <col min="291" max="292" width="13" bestFit="1" customWidth="1"/>
    <col min="293" max="293" width="16.140625" bestFit="1" customWidth="1"/>
    <col min="294" max="294" width="13" bestFit="1" customWidth="1"/>
    <col min="295" max="295" width="16.140625" bestFit="1" customWidth="1"/>
    <col min="296" max="296" width="13" bestFit="1" customWidth="1"/>
    <col min="297" max="297" width="16.140625" bestFit="1" customWidth="1"/>
    <col min="298" max="299" width="12" bestFit="1" customWidth="1"/>
    <col min="300" max="300" width="15.140625" bestFit="1" customWidth="1"/>
    <col min="301" max="301" width="12" bestFit="1" customWidth="1"/>
    <col min="302" max="302" width="15.140625" bestFit="1" customWidth="1"/>
    <col min="303" max="305" width="12" bestFit="1" customWidth="1"/>
    <col min="306" max="306" width="15.140625" bestFit="1" customWidth="1"/>
    <col min="307" max="307" width="12" bestFit="1" customWidth="1"/>
    <col min="308" max="308" width="15.140625" bestFit="1" customWidth="1"/>
    <col min="309" max="309" width="12" bestFit="1" customWidth="1"/>
    <col min="310" max="310" width="15.140625" bestFit="1" customWidth="1"/>
    <col min="311" max="313" width="12" bestFit="1" customWidth="1"/>
    <col min="314" max="314" width="15.140625" bestFit="1" customWidth="1"/>
    <col min="315" max="316" width="12" bestFit="1" customWidth="1"/>
    <col min="317" max="317" width="15.140625" bestFit="1" customWidth="1"/>
    <col min="318" max="318" width="13" bestFit="1" customWidth="1"/>
    <col min="319" max="319" width="16.140625" bestFit="1" customWidth="1"/>
    <col min="320" max="320" width="13" bestFit="1" customWidth="1"/>
    <col min="321" max="321" width="16.140625" bestFit="1" customWidth="1"/>
    <col min="322" max="323" width="13" bestFit="1" customWidth="1"/>
    <col min="324" max="324" width="16.140625" bestFit="1" customWidth="1"/>
    <col min="325" max="325" width="12" bestFit="1" customWidth="1"/>
    <col min="326" max="326" width="15.140625" bestFit="1" customWidth="1"/>
    <col min="327" max="328" width="12" bestFit="1" customWidth="1"/>
    <col min="329" max="329" width="15.140625" bestFit="1" customWidth="1"/>
    <col min="330" max="330" width="12" bestFit="1" customWidth="1"/>
    <col min="331" max="331" width="15.140625" bestFit="1" customWidth="1"/>
    <col min="332" max="334" width="12" bestFit="1" customWidth="1"/>
    <col min="335" max="335" width="15.140625" bestFit="1" customWidth="1"/>
    <col min="336" max="338" width="12" bestFit="1" customWidth="1"/>
    <col min="339" max="339" width="15.140625" bestFit="1" customWidth="1"/>
    <col min="340" max="341" width="12" bestFit="1" customWidth="1"/>
    <col min="342" max="342" width="15.140625" bestFit="1" customWidth="1"/>
    <col min="343" max="343" width="13" bestFit="1" customWidth="1"/>
    <col min="344" max="344" width="16.140625" bestFit="1" customWidth="1"/>
    <col min="345" max="345" width="13" bestFit="1" customWidth="1"/>
    <col min="346" max="346" width="16.140625" bestFit="1" customWidth="1"/>
    <col min="347" max="347" width="13" bestFit="1" customWidth="1"/>
    <col min="348" max="348" width="16.140625" bestFit="1" customWidth="1"/>
    <col min="349" max="349" width="12" bestFit="1" customWidth="1"/>
    <col min="350" max="350" width="15.140625" bestFit="1" customWidth="1"/>
    <col min="351" max="351" width="12" bestFit="1" customWidth="1"/>
    <col min="352" max="352" width="15.140625" bestFit="1" customWidth="1"/>
    <col min="353" max="353" width="12" bestFit="1" customWidth="1"/>
    <col min="354" max="354" width="15.140625" bestFit="1" customWidth="1"/>
    <col min="355" max="356" width="12" bestFit="1" customWidth="1"/>
    <col min="357" max="357" width="15.140625" bestFit="1" customWidth="1"/>
    <col min="358" max="358" width="12" bestFit="1" customWidth="1"/>
    <col min="359" max="359" width="15.140625" bestFit="1" customWidth="1"/>
    <col min="360" max="361" width="12" bestFit="1" customWidth="1"/>
    <col min="362" max="362" width="15.140625" bestFit="1" customWidth="1"/>
    <col min="363" max="363" width="12" bestFit="1" customWidth="1"/>
    <col min="364" max="364" width="15.140625" bestFit="1" customWidth="1"/>
    <col min="365" max="366" width="12" bestFit="1" customWidth="1"/>
    <col min="367" max="367" width="15.140625" bestFit="1" customWidth="1"/>
    <col min="368" max="369" width="12" bestFit="1" customWidth="1"/>
    <col min="370" max="370" width="15.140625" bestFit="1" customWidth="1"/>
    <col min="371" max="371" width="13" bestFit="1" customWidth="1"/>
    <col min="372" max="372" width="16.140625" bestFit="1" customWidth="1"/>
    <col min="373" max="373" width="13" bestFit="1" customWidth="1"/>
    <col min="374" max="374" width="16.140625" bestFit="1" customWidth="1"/>
    <col min="375" max="375" width="12" bestFit="1" customWidth="1"/>
    <col min="376" max="376" width="15.140625" bestFit="1" customWidth="1"/>
    <col min="377" max="378" width="12" bestFit="1" customWidth="1"/>
    <col min="379" max="379" width="15.140625" bestFit="1" customWidth="1"/>
    <col min="380" max="380" width="12" bestFit="1" customWidth="1"/>
    <col min="381" max="381" width="15.140625" bestFit="1" customWidth="1"/>
    <col min="382" max="383" width="12" bestFit="1" customWidth="1"/>
    <col min="384" max="384" width="15.140625" bestFit="1" customWidth="1"/>
    <col min="385" max="386" width="12" bestFit="1" customWidth="1"/>
    <col min="387" max="387" width="15.140625" bestFit="1" customWidth="1"/>
    <col min="388" max="388" width="12" bestFit="1" customWidth="1"/>
    <col min="389" max="389" width="15.140625" bestFit="1" customWidth="1"/>
    <col min="390" max="390" width="12" bestFit="1" customWidth="1"/>
    <col min="391" max="391" width="15.140625" bestFit="1" customWidth="1"/>
    <col min="392" max="394" width="13" bestFit="1" customWidth="1"/>
    <col min="395" max="395" width="16.140625" bestFit="1" customWidth="1"/>
    <col min="396" max="397" width="13" bestFit="1" customWidth="1"/>
    <col min="398" max="398" width="16.140625" bestFit="1" customWidth="1"/>
    <col min="399" max="399" width="13" bestFit="1" customWidth="1"/>
    <col min="400" max="400" width="16.140625" bestFit="1" customWidth="1"/>
    <col min="401" max="401" width="12" bestFit="1" customWidth="1"/>
    <col min="402" max="402" width="15.140625" bestFit="1" customWidth="1"/>
    <col min="403" max="404" width="12" bestFit="1" customWidth="1"/>
    <col min="405" max="405" width="15.140625" bestFit="1" customWidth="1"/>
    <col min="406" max="406" width="12" bestFit="1" customWidth="1"/>
    <col min="407" max="407" width="15.140625" bestFit="1" customWidth="1"/>
    <col min="408" max="408" width="12" bestFit="1" customWidth="1"/>
    <col min="409" max="409" width="15.140625" bestFit="1" customWidth="1"/>
    <col min="410" max="412" width="12" bestFit="1" customWidth="1"/>
    <col min="413" max="413" width="15.140625" bestFit="1" customWidth="1"/>
    <col min="414" max="414" width="12" bestFit="1" customWidth="1"/>
    <col min="415" max="415" width="15.140625" bestFit="1" customWidth="1"/>
    <col min="416" max="416" width="12" bestFit="1" customWidth="1"/>
    <col min="417" max="417" width="15.140625" bestFit="1" customWidth="1"/>
    <col min="418" max="418" width="12" bestFit="1" customWidth="1"/>
    <col min="419" max="419" width="15.140625" bestFit="1" customWidth="1"/>
    <col min="420" max="420" width="13" bestFit="1" customWidth="1"/>
    <col min="421" max="421" width="16.140625" bestFit="1" customWidth="1"/>
    <col min="422" max="425" width="13" bestFit="1" customWidth="1"/>
    <col min="426" max="426" width="16.140625" bestFit="1" customWidth="1"/>
    <col min="427" max="429" width="13" bestFit="1" customWidth="1"/>
    <col min="430" max="430" width="16.140625" bestFit="1" customWidth="1"/>
    <col min="431" max="431" width="12" bestFit="1" customWidth="1"/>
    <col min="432" max="432" width="15.140625" bestFit="1" customWidth="1"/>
    <col min="433" max="433" width="12" bestFit="1" customWidth="1"/>
    <col min="434" max="434" width="15.140625" bestFit="1" customWidth="1"/>
    <col min="435" max="436" width="12" bestFit="1" customWidth="1"/>
    <col min="437" max="437" width="15.140625" bestFit="1" customWidth="1"/>
    <col min="438" max="438" width="12" bestFit="1" customWidth="1"/>
    <col min="439" max="439" width="15.140625" bestFit="1" customWidth="1"/>
    <col min="440" max="441" width="12" bestFit="1" customWidth="1"/>
    <col min="442" max="442" width="15.140625" bestFit="1" customWidth="1"/>
    <col min="443" max="444" width="13" bestFit="1" customWidth="1"/>
    <col min="445" max="445" width="16.140625" bestFit="1" customWidth="1"/>
    <col min="446" max="448" width="13" bestFit="1" customWidth="1"/>
    <col min="449" max="449" width="16.140625" bestFit="1" customWidth="1"/>
    <col min="450" max="450" width="12" bestFit="1" customWidth="1"/>
    <col min="451" max="451" width="15.140625" bestFit="1" customWidth="1"/>
    <col min="452" max="452" width="12" bestFit="1" customWidth="1"/>
    <col min="453" max="453" width="15.140625" bestFit="1" customWidth="1"/>
    <col min="454" max="454" width="12" bestFit="1" customWidth="1"/>
    <col min="455" max="455" width="15.140625" bestFit="1" customWidth="1"/>
    <col min="456" max="456" width="12" bestFit="1" customWidth="1"/>
    <col min="457" max="457" width="15.140625" bestFit="1" customWidth="1"/>
    <col min="458" max="459" width="13" bestFit="1" customWidth="1"/>
    <col min="460" max="460" width="16.140625" bestFit="1" customWidth="1"/>
    <col min="461" max="461" width="13" bestFit="1" customWidth="1"/>
    <col min="462" max="462" width="16.140625" bestFit="1" customWidth="1"/>
    <col min="463" max="466" width="12" bestFit="1" customWidth="1"/>
    <col min="467" max="467" width="15.140625" bestFit="1" customWidth="1"/>
    <col min="468" max="470" width="12" bestFit="1" customWidth="1"/>
    <col min="471" max="471" width="15.140625" bestFit="1" customWidth="1"/>
    <col min="472" max="475" width="12" bestFit="1" customWidth="1"/>
    <col min="476" max="476" width="15.140625" bestFit="1" customWidth="1"/>
    <col min="477" max="478" width="12" bestFit="1" customWidth="1"/>
    <col min="479" max="479" width="15.140625" bestFit="1" customWidth="1"/>
    <col min="480" max="480" width="12" bestFit="1" customWidth="1"/>
    <col min="481" max="481" width="15.140625" bestFit="1" customWidth="1"/>
    <col min="482" max="482" width="12" bestFit="1" customWidth="1"/>
    <col min="483" max="483" width="15.140625" bestFit="1" customWidth="1"/>
    <col min="484" max="484" width="12" bestFit="1" customWidth="1"/>
    <col min="485" max="485" width="15.140625" bestFit="1" customWidth="1"/>
    <col min="486" max="488" width="12" bestFit="1" customWidth="1"/>
    <col min="489" max="489" width="15.140625" bestFit="1" customWidth="1"/>
    <col min="490" max="490" width="13" bestFit="1" customWidth="1"/>
    <col min="491" max="491" width="16.140625" bestFit="1" customWidth="1"/>
    <col min="492" max="492" width="13" bestFit="1" customWidth="1"/>
    <col min="493" max="493" width="16.140625" bestFit="1" customWidth="1"/>
    <col min="494" max="495" width="13" bestFit="1" customWidth="1"/>
    <col min="496" max="496" width="16.140625" bestFit="1" customWidth="1"/>
    <col min="497" max="499" width="12" bestFit="1" customWidth="1"/>
    <col min="500" max="500" width="15.140625" bestFit="1" customWidth="1"/>
    <col min="501" max="503" width="12" bestFit="1" customWidth="1"/>
    <col min="504" max="504" width="15.140625" bestFit="1" customWidth="1"/>
    <col min="505" max="506" width="12" bestFit="1" customWidth="1"/>
    <col min="507" max="507" width="15.140625" bestFit="1" customWidth="1"/>
    <col min="508" max="508" width="12" bestFit="1" customWidth="1"/>
    <col min="509" max="509" width="15.140625" bestFit="1" customWidth="1"/>
    <col min="510" max="510" width="12" bestFit="1" customWidth="1"/>
    <col min="511" max="511" width="15.140625" bestFit="1" customWidth="1"/>
    <col min="512" max="515" width="12" bestFit="1" customWidth="1"/>
    <col min="516" max="516" width="15.140625" bestFit="1" customWidth="1"/>
    <col min="517" max="518" width="12" bestFit="1" customWidth="1"/>
    <col min="519" max="519" width="15.140625" bestFit="1" customWidth="1"/>
    <col min="520" max="521" width="12" bestFit="1" customWidth="1"/>
    <col min="522" max="522" width="15.140625" bestFit="1" customWidth="1"/>
    <col min="523" max="523" width="11" bestFit="1" customWidth="1"/>
    <col min="524" max="524" width="14.140625" bestFit="1" customWidth="1"/>
    <col min="525" max="525" width="11" bestFit="1" customWidth="1"/>
    <col min="526" max="526" width="14.140625" bestFit="1" customWidth="1"/>
    <col min="527" max="528" width="11" bestFit="1" customWidth="1"/>
    <col min="529" max="529" width="14.140625" bestFit="1" customWidth="1"/>
    <col min="530" max="531" width="11" bestFit="1" customWidth="1"/>
    <col min="532" max="532" width="14.140625" bestFit="1" customWidth="1"/>
    <col min="533" max="536" width="11" bestFit="1" customWidth="1"/>
    <col min="537" max="537" width="14.140625" bestFit="1" customWidth="1"/>
    <col min="538" max="538" width="12" bestFit="1" customWidth="1"/>
    <col min="539" max="539" width="15.140625" bestFit="1" customWidth="1"/>
    <col min="540" max="540" width="13" bestFit="1" customWidth="1"/>
    <col min="541" max="541" width="16.140625" bestFit="1" customWidth="1"/>
    <col min="542" max="543" width="13" bestFit="1" customWidth="1"/>
    <col min="544" max="544" width="16.140625" bestFit="1" customWidth="1"/>
    <col min="545" max="545" width="12" bestFit="1" customWidth="1"/>
    <col min="546" max="546" width="15.140625" bestFit="1" customWidth="1"/>
    <col min="547" max="547" width="12" bestFit="1" customWidth="1"/>
    <col min="548" max="548" width="15.140625" bestFit="1" customWidth="1"/>
    <col min="549" max="549" width="12" bestFit="1" customWidth="1"/>
    <col min="550" max="550" width="15.140625" bestFit="1" customWidth="1"/>
    <col min="551" max="551" width="12" bestFit="1" customWidth="1"/>
    <col min="552" max="552" width="15.140625" bestFit="1" customWidth="1"/>
    <col min="553" max="553" width="12" bestFit="1" customWidth="1"/>
    <col min="554" max="554" width="15.140625" bestFit="1" customWidth="1"/>
    <col min="555" max="555" width="12" bestFit="1" customWidth="1"/>
    <col min="556" max="556" width="15.140625" bestFit="1" customWidth="1"/>
    <col min="557" max="558" width="13" bestFit="1" customWidth="1"/>
    <col min="559" max="559" width="16.140625" bestFit="1" customWidth="1"/>
    <col min="560" max="560" width="12" bestFit="1" customWidth="1"/>
    <col min="561" max="561" width="15.140625" bestFit="1" customWidth="1"/>
    <col min="562" max="562" width="12" bestFit="1" customWidth="1"/>
    <col min="563" max="563" width="15.140625" bestFit="1" customWidth="1"/>
    <col min="564" max="565" width="12" bestFit="1" customWidth="1"/>
    <col min="566" max="566" width="15.140625" bestFit="1" customWidth="1"/>
    <col min="567" max="567" width="12" bestFit="1" customWidth="1"/>
    <col min="568" max="568" width="15.140625" bestFit="1" customWidth="1"/>
    <col min="569" max="569" width="12" bestFit="1" customWidth="1"/>
    <col min="570" max="570" width="15.140625" bestFit="1" customWidth="1"/>
    <col min="571" max="572" width="11" bestFit="1" customWidth="1"/>
    <col min="573" max="573" width="14.140625" bestFit="1" customWidth="1"/>
    <col min="574" max="574" width="11" bestFit="1" customWidth="1"/>
    <col min="575" max="575" width="14.140625" bestFit="1" customWidth="1"/>
    <col min="576" max="577" width="11" bestFit="1" customWidth="1"/>
    <col min="578" max="578" width="14.140625" bestFit="1" customWidth="1"/>
    <col min="579" max="580" width="11" bestFit="1" customWidth="1"/>
    <col min="581" max="581" width="14.140625" bestFit="1" customWidth="1"/>
    <col min="582" max="582" width="11" bestFit="1" customWidth="1"/>
    <col min="583" max="583" width="14.140625" bestFit="1" customWidth="1"/>
    <col min="584" max="584" width="11" bestFit="1" customWidth="1"/>
    <col min="585" max="585" width="14.140625" bestFit="1" customWidth="1"/>
    <col min="586" max="588" width="12" bestFit="1" customWidth="1"/>
    <col min="589" max="589" width="15.140625" bestFit="1" customWidth="1"/>
    <col min="590" max="590" width="12" bestFit="1" customWidth="1"/>
    <col min="591" max="591" width="15.140625" bestFit="1" customWidth="1"/>
    <col min="592" max="593" width="12" bestFit="1" customWidth="1"/>
    <col min="594" max="594" width="15.140625" bestFit="1" customWidth="1"/>
    <col min="595" max="595" width="11" bestFit="1" customWidth="1"/>
    <col min="596" max="596" width="14.140625" bestFit="1" customWidth="1"/>
    <col min="597" max="597" width="11" bestFit="1" customWidth="1"/>
    <col min="598" max="598" width="14.140625" bestFit="1" customWidth="1"/>
    <col min="599" max="601" width="11" bestFit="1" customWidth="1"/>
    <col min="602" max="602" width="14.140625" bestFit="1" customWidth="1"/>
    <col min="603" max="605" width="11" bestFit="1" customWidth="1"/>
    <col min="606" max="606" width="14.140625" bestFit="1" customWidth="1"/>
    <col min="607" max="608" width="11" bestFit="1" customWidth="1"/>
    <col min="609" max="609" width="14.140625" bestFit="1" customWidth="1"/>
    <col min="610" max="611" width="11" bestFit="1" customWidth="1"/>
    <col min="612" max="612" width="14.140625" bestFit="1" customWidth="1"/>
    <col min="613" max="613" width="11" bestFit="1" customWidth="1"/>
    <col min="614" max="614" width="14.140625" bestFit="1" customWidth="1"/>
    <col min="615" max="615" width="11" bestFit="1" customWidth="1"/>
    <col min="616" max="616" width="14.140625" bestFit="1" customWidth="1"/>
    <col min="617" max="619" width="12" bestFit="1" customWidth="1"/>
    <col min="620" max="620" width="15.140625" bestFit="1" customWidth="1"/>
    <col min="621" max="621" width="12" bestFit="1" customWidth="1"/>
    <col min="622" max="622" width="15.140625" bestFit="1" customWidth="1"/>
    <col min="623" max="625" width="11" bestFit="1" customWidth="1"/>
    <col min="626" max="626" width="14.140625" bestFit="1" customWidth="1"/>
    <col min="627" max="627" width="11" bestFit="1" customWidth="1"/>
    <col min="628" max="628" width="14.140625" bestFit="1" customWidth="1"/>
    <col min="629" max="629" width="11" bestFit="1" customWidth="1"/>
    <col min="630" max="630" width="14.140625" bestFit="1" customWidth="1"/>
    <col min="631" max="631" width="11" bestFit="1" customWidth="1"/>
    <col min="632" max="632" width="14.140625" bestFit="1" customWidth="1"/>
    <col min="633" max="633" width="11" bestFit="1" customWidth="1"/>
    <col min="634" max="634" width="14.140625" bestFit="1" customWidth="1"/>
    <col min="635" max="635" width="11" bestFit="1" customWidth="1"/>
    <col min="636" max="636" width="14.140625" bestFit="1" customWidth="1"/>
    <col min="637" max="637" width="11" bestFit="1" customWidth="1"/>
    <col min="638" max="638" width="14.140625" bestFit="1" customWidth="1"/>
    <col min="639" max="639" width="12" bestFit="1" customWidth="1"/>
    <col min="640" max="640" width="15.140625" bestFit="1" customWidth="1"/>
    <col min="641" max="642" width="12" bestFit="1" customWidth="1"/>
    <col min="643" max="643" width="15.140625" bestFit="1" customWidth="1"/>
    <col min="644" max="644" width="11" bestFit="1" customWidth="1"/>
    <col min="645" max="645" width="14.140625" bestFit="1" customWidth="1"/>
    <col min="646" max="647" width="11" bestFit="1" customWidth="1"/>
    <col min="648" max="648" width="14.140625" bestFit="1" customWidth="1"/>
    <col min="649" max="651" width="11" bestFit="1" customWidth="1"/>
    <col min="652" max="652" width="14.140625" bestFit="1" customWidth="1"/>
    <col min="653" max="654" width="11" bestFit="1" customWidth="1"/>
    <col min="655" max="655" width="14.140625" bestFit="1" customWidth="1"/>
    <col min="656" max="657" width="11" bestFit="1" customWidth="1"/>
    <col min="658" max="658" width="14.140625" bestFit="1" customWidth="1"/>
    <col min="659" max="660" width="12" bestFit="1" customWidth="1"/>
    <col min="661" max="661" width="15.140625" bestFit="1" customWidth="1"/>
    <col min="662" max="662" width="12" bestFit="1" customWidth="1"/>
    <col min="663" max="663" width="15.140625" bestFit="1" customWidth="1"/>
    <col min="664" max="664" width="12" bestFit="1" customWidth="1"/>
    <col min="665" max="665" width="15.140625" bestFit="1" customWidth="1"/>
    <col min="666" max="666" width="11" bestFit="1" customWidth="1"/>
    <col min="667" max="667" width="14.140625" bestFit="1" customWidth="1"/>
    <col min="668" max="668" width="11" bestFit="1" customWidth="1"/>
    <col min="669" max="669" width="14.140625" bestFit="1" customWidth="1"/>
    <col min="670" max="671" width="11" bestFit="1" customWidth="1"/>
    <col min="672" max="672" width="14.140625" bestFit="1" customWidth="1"/>
    <col min="673" max="673" width="11" bestFit="1" customWidth="1"/>
    <col min="674" max="674" width="14.140625" bestFit="1" customWidth="1"/>
    <col min="675" max="676" width="11" bestFit="1" customWidth="1"/>
    <col min="677" max="677" width="14.140625" bestFit="1" customWidth="1"/>
    <col min="678" max="678" width="11" bestFit="1" customWidth="1"/>
    <col min="679" max="679" width="14.140625" bestFit="1" customWidth="1"/>
    <col min="680" max="680" width="12" bestFit="1" customWidth="1"/>
    <col min="681" max="681" width="15.140625" bestFit="1" customWidth="1"/>
    <col min="682" max="683" width="11" bestFit="1" customWidth="1"/>
    <col min="684" max="684" width="14.140625" bestFit="1" customWidth="1"/>
    <col min="685" max="686" width="11" bestFit="1" customWidth="1"/>
    <col min="687" max="687" width="14.140625" bestFit="1" customWidth="1"/>
    <col min="688" max="688" width="11" bestFit="1" customWidth="1"/>
    <col min="689" max="689" width="14.140625" bestFit="1" customWidth="1"/>
    <col min="690" max="690" width="11" bestFit="1" customWidth="1"/>
    <col min="691" max="691" width="14.140625" bestFit="1" customWidth="1"/>
    <col min="692" max="693" width="11" bestFit="1" customWidth="1"/>
    <col min="694" max="694" width="14.140625" bestFit="1" customWidth="1"/>
    <col min="696" max="696" width="12.140625" bestFit="1" customWidth="1"/>
    <col min="697" max="697" width="11.28515625" bestFit="1" customWidth="1"/>
  </cols>
  <sheetData>
    <row r="3" spans="1:2" x14ac:dyDescent="0.25">
      <c r="A3" s="14" t="s">
        <v>5</v>
      </c>
      <c r="B3" t="s">
        <v>2621</v>
      </c>
    </row>
    <row r="4" spans="1:2" x14ac:dyDescent="0.25">
      <c r="A4" s="15">
        <v>85</v>
      </c>
      <c r="B4" s="16">
        <v>5.7248384118190214E-2</v>
      </c>
    </row>
    <row r="5" spans="1:2" x14ac:dyDescent="0.25">
      <c r="A5" s="15">
        <v>90</v>
      </c>
      <c r="B5" s="16">
        <v>5.5401662049861496E-3</v>
      </c>
    </row>
    <row r="6" spans="1:2" x14ac:dyDescent="0.25">
      <c r="A6" s="15">
        <v>125</v>
      </c>
      <c r="B6" s="16">
        <v>6.9252077562326875E-2</v>
      </c>
    </row>
    <row r="7" spans="1:2" x14ac:dyDescent="0.25">
      <c r="A7" s="15">
        <v>130</v>
      </c>
      <c r="B7" s="16">
        <v>0.39150507848568789</v>
      </c>
    </row>
    <row r="8" spans="1:2" x14ac:dyDescent="0.25">
      <c r="A8" s="15">
        <v>135</v>
      </c>
      <c r="B8" s="16">
        <v>0.22253000923361035</v>
      </c>
    </row>
    <row r="9" spans="1:2" x14ac:dyDescent="0.25">
      <c r="A9" s="15">
        <v>160</v>
      </c>
      <c r="B9" s="16">
        <v>2.5854108956602031E-2</v>
      </c>
    </row>
    <row r="10" spans="1:2" x14ac:dyDescent="0.25">
      <c r="A10" s="15">
        <v>190</v>
      </c>
      <c r="B10" s="16">
        <v>0.13019390581717452</v>
      </c>
    </row>
    <row r="11" spans="1:2" x14ac:dyDescent="0.25">
      <c r="A11" s="15">
        <v>200</v>
      </c>
      <c r="B11" s="16">
        <v>3.3240997229916899E-2</v>
      </c>
    </row>
    <row r="12" spans="1:2" x14ac:dyDescent="0.25">
      <c r="A12" s="15">
        <v>210</v>
      </c>
      <c r="B12" s="16">
        <v>2.8624192059095107E-2</v>
      </c>
    </row>
    <row r="13" spans="1:2" x14ac:dyDescent="0.25">
      <c r="A13" s="15">
        <v>215</v>
      </c>
      <c r="B13" s="16">
        <v>1.9390581717451522E-2</v>
      </c>
    </row>
    <row r="14" spans="1:2" x14ac:dyDescent="0.25">
      <c r="A14" s="15">
        <v>220</v>
      </c>
      <c r="B14" s="16">
        <v>1.662049861495845E-2</v>
      </c>
    </row>
    <row r="15" spans="1:2" x14ac:dyDescent="0.25">
      <c r="A15" s="15" t="s">
        <v>2624</v>
      </c>
      <c r="B15" s="16">
        <v>0</v>
      </c>
    </row>
    <row r="16" spans="1:2" x14ac:dyDescent="0.25">
      <c r="A16" s="15" t="s">
        <v>2620</v>
      </c>
      <c r="B16" s="16">
        <v>1</v>
      </c>
    </row>
    <row r="29" spans="1:2" x14ac:dyDescent="0.25">
      <c r="A29" s="14" t="s">
        <v>3</v>
      </c>
      <c r="B29" t="s">
        <v>2621</v>
      </c>
    </row>
    <row r="30" spans="1:2" x14ac:dyDescent="0.25">
      <c r="A30" s="15" t="s">
        <v>137</v>
      </c>
      <c r="B30" s="16">
        <v>6.9252077562326875E-2</v>
      </c>
    </row>
    <row r="31" spans="1:2" x14ac:dyDescent="0.25">
      <c r="A31" s="15" t="s">
        <v>11</v>
      </c>
      <c r="B31" s="16">
        <v>0.93074792243767313</v>
      </c>
    </row>
    <row r="32" spans="1:2" x14ac:dyDescent="0.25">
      <c r="A32" s="15" t="s">
        <v>2620</v>
      </c>
      <c r="B32" s="16">
        <v>1</v>
      </c>
    </row>
    <row r="42" spans="1:2" x14ac:dyDescent="0.25">
      <c r="A42" s="14" t="s">
        <v>3</v>
      </c>
      <c r="B42" t="s">
        <v>2622</v>
      </c>
    </row>
    <row r="43" spans="1:2" x14ac:dyDescent="0.25">
      <c r="A43" s="15" t="s">
        <v>137</v>
      </c>
      <c r="B43" s="9">
        <v>24605</v>
      </c>
    </row>
    <row r="44" spans="1:2" x14ac:dyDescent="0.25">
      <c r="A44" s="15" t="s">
        <v>11</v>
      </c>
      <c r="B44" s="9">
        <v>194875</v>
      </c>
    </row>
    <row r="45" spans="1:2" x14ac:dyDescent="0.25">
      <c r="A45" s="15" t="s">
        <v>2623</v>
      </c>
      <c r="B45" s="9"/>
    </row>
    <row r="46" spans="1:2" x14ac:dyDescent="0.25">
      <c r="A46" s="15" t="s">
        <v>2620</v>
      </c>
      <c r="B46" s="9">
        <v>219480</v>
      </c>
    </row>
    <row r="65" spans="1:3" x14ac:dyDescent="0.25">
      <c r="A65" s="18"/>
      <c r="B65" s="19"/>
      <c r="C65" s="20"/>
    </row>
    <row r="66" spans="1:3" x14ac:dyDescent="0.25">
      <c r="A66" s="21"/>
      <c r="B66" s="22"/>
      <c r="C66" s="23"/>
    </row>
    <row r="67" spans="1:3" x14ac:dyDescent="0.25">
      <c r="A67" s="21"/>
      <c r="B67" s="22"/>
      <c r="C67" s="23"/>
    </row>
    <row r="68" spans="1:3" x14ac:dyDescent="0.25">
      <c r="A68" s="21"/>
      <c r="B68" s="22"/>
      <c r="C68" s="23"/>
    </row>
    <row r="69" spans="1:3" x14ac:dyDescent="0.25">
      <c r="A69" s="21"/>
      <c r="B69" s="22"/>
      <c r="C69" s="23"/>
    </row>
    <row r="70" spans="1:3" x14ac:dyDescent="0.25">
      <c r="A70" s="21"/>
      <c r="B70" s="22"/>
      <c r="C70" s="23"/>
    </row>
    <row r="71" spans="1:3" x14ac:dyDescent="0.25">
      <c r="A71" s="21"/>
      <c r="B71" s="22"/>
      <c r="C71" s="23"/>
    </row>
    <row r="72" spans="1:3" x14ac:dyDescent="0.25">
      <c r="A72" s="21"/>
      <c r="B72" s="22"/>
      <c r="C72" s="23"/>
    </row>
    <row r="73" spans="1:3" x14ac:dyDescent="0.25">
      <c r="A73" s="21"/>
      <c r="B73" s="22"/>
      <c r="C73" s="23"/>
    </row>
    <row r="74" spans="1:3" x14ac:dyDescent="0.25">
      <c r="A74" s="21"/>
      <c r="B74" s="22"/>
      <c r="C74" s="23"/>
    </row>
    <row r="75" spans="1:3" x14ac:dyDescent="0.25">
      <c r="A75" s="21"/>
      <c r="B75" s="22"/>
      <c r="C75" s="23"/>
    </row>
    <row r="76" spans="1:3" x14ac:dyDescent="0.25">
      <c r="A76" s="21"/>
      <c r="B76" s="22"/>
      <c r="C76" s="23"/>
    </row>
    <row r="77" spans="1:3" x14ac:dyDescent="0.25">
      <c r="A77" s="21"/>
      <c r="B77" s="22"/>
      <c r="C77" s="23"/>
    </row>
    <row r="78" spans="1:3" x14ac:dyDescent="0.25">
      <c r="A78" s="21"/>
      <c r="B78" s="22"/>
      <c r="C78" s="23"/>
    </row>
    <row r="79" spans="1:3" x14ac:dyDescent="0.25">
      <c r="A79" s="21"/>
      <c r="B79" s="22"/>
      <c r="C79" s="23"/>
    </row>
    <row r="80" spans="1:3" x14ac:dyDescent="0.25">
      <c r="A80" s="21"/>
      <c r="B80" s="22"/>
      <c r="C80" s="23"/>
    </row>
    <row r="81" spans="1:3" x14ac:dyDescent="0.25">
      <c r="A81" s="21"/>
      <c r="B81" s="22"/>
      <c r="C81" s="23"/>
    </row>
    <row r="82" spans="1:3" x14ac:dyDescent="0.25">
      <c r="A82" s="24"/>
      <c r="B82" s="25"/>
      <c r="C82" s="26"/>
    </row>
    <row r="101" spans="1:2" x14ac:dyDescent="0.25">
      <c r="A101" t="s">
        <v>2622</v>
      </c>
    </row>
    <row r="102" spans="1:2" x14ac:dyDescent="0.25">
      <c r="A102" s="9">
        <v>219480</v>
      </c>
    </row>
    <row r="111" spans="1:2" x14ac:dyDescent="0.25">
      <c r="A111" s="14" t="s">
        <v>3</v>
      </c>
      <c r="B111" t="s">
        <v>2627</v>
      </c>
    </row>
    <row r="112" spans="1:2" x14ac:dyDescent="0.25">
      <c r="A112" s="15" t="s">
        <v>93</v>
      </c>
      <c r="B112" s="9">
        <v>13</v>
      </c>
    </row>
    <row r="113" spans="1:2" x14ac:dyDescent="0.25">
      <c r="A113" s="15" t="s">
        <v>70</v>
      </c>
      <c r="B113" s="9">
        <v>5</v>
      </c>
    </row>
    <row r="114" spans="1:2" x14ac:dyDescent="0.25">
      <c r="A114" s="15" t="s">
        <v>10</v>
      </c>
      <c r="B114" s="9">
        <v>4</v>
      </c>
    </row>
    <row r="115" spans="1:2" x14ac:dyDescent="0.25">
      <c r="A115" s="15" t="s">
        <v>19</v>
      </c>
      <c r="B115" s="9">
        <v>71</v>
      </c>
    </row>
    <row r="116" spans="1:2" x14ac:dyDescent="0.25">
      <c r="A116" s="15" t="s">
        <v>32</v>
      </c>
      <c r="B116" s="9">
        <v>46</v>
      </c>
    </row>
    <row r="117" spans="1:2" x14ac:dyDescent="0.25">
      <c r="A117" s="15" t="s">
        <v>47</v>
      </c>
      <c r="B117" s="9">
        <v>18</v>
      </c>
    </row>
    <row r="118" spans="1:2" x14ac:dyDescent="0.25">
      <c r="A118" s="15" t="s">
        <v>167</v>
      </c>
      <c r="B118" s="9">
        <v>6</v>
      </c>
    </row>
    <row r="119" spans="1:2" x14ac:dyDescent="0.25">
      <c r="A119" s="15" t="s">
        <v>2620</v>
      </c>
      <c r="B119" s="9">
        <v>163</v>
      </c>
    </row>
    <row r="132" spans="1:2" x14ac:dyDescent="0.25">
      <c r="A132" s="1"/>
    </row>
    <row r="133" spans="1:2" x14ac:dyDescent="0.25">
      <c r="A133" s="15"/>
      <c r="B133" s="9"/>
    </row>
    <row r="134" spans="1:2" x14ac:dyDescent="0.25">
      <c r="A134" s="15"/>
      <c r="B134" s="9"/>
    </row>
    <row r="135" spans="1:2" x14ac:dyDescent="0.25">
      <c r="A135" s="15"/>
      <c r="B135" s="9"/>
    </row>
    <row r="136" spans="1:2" x14ac:dyDescent="0.25">
      <c r="A136" s="15"/>
      <c r="B136" s="9"/>
    </row>
    <row r="137" spans="1:2" x14ac:dyDescent="0.25">
      <c r="A137" s="15"/>
      <c r="B137" s="9"/>
    </row>
    <row r="138" spans="1:2" x14ac:dyDescent="0.25">
      <c r="A138" s="15"/>
      <c r="B138" s="9"/>
    </row>
    <row r="141" spans="1:2" x14ac:dyDescent="0.25">
      <c r="A141" s="15"/>
      <c r="B141" s="9"/>
    </row>
    <row r="142" spans="1:2" x14ac:dyDescent="0.25">
      <c r="A142" s="14" t="s">
        <v>2629</v>
      </c>
      <c r="B142" t="s">
        <v>2627</v>
      </c>
    </row>
    <row r="143" spans="1:2" x14ac:dyDescent="0.25">
      <c r="A143" s="15" t="s">
        <v>2201</v>
      </c>
      <c r="B143" s="9">
        <v>4</v>
      </c>
    </row>
    <row r="144" spans="1:2" x14ac:dyDescent="0.25">
      <c r="A144" s="15" t="s">
        <v>2523</v>
      </c>
      <c r="B144" s="9">
        <v>3</v>
      </c>
    </row>
    <row r="145" spans="1:2" x14ac:dyDescent="0.25">
      <c r="A145" s="15" t="s">
        <v>2565</v>
      </c>
      <c r="B145" s="9">
        <v>8</v>
      </c>
    </row>
    <row r="146" spans="1:2" x14ac:dyDescent="0.25">
      <c r="A146" s="15" t="s">
        <v>2304</v>
      </c>
      <c r="B146" s="9">
        <v>8</v>
      </c>
    </row>
    <row r="147" spans="1:2" x14ac:dyDescent="0.25">
      <c r="A147" s="15" t="s">
        <v>2344</v>
      </c>
      <c r="B147" s="9">
        <v>3</v>
      </c>
    </row>
    <row r="148" spans="1:2" x14ac:dyDescent="0.25">
      <c r="A148" s="15" t="s">
        <v>2376</v>
      </c>
      <c r="B148" s="9">
        <v>4</v>
      </c>
    </row>
    <row r="149" spans="1:2" x14ac:dyDescent="0.25">
      <c r="A149" s="15" t="s">
        <v>2410</v>
      </c>
      <c r="B149" s="9">
        <v>2</v>
      </c>
    </row>
    <row r="150" spans="1:2" x14ac:dyDescent="0.25">
      <c r="A150" s="15" t="s">
        <v>2457</v>
      </c>
      <c r="B150" s="9">
        <v>3</v>
      </c>
    </row>
    <row r="151" spans="1:2" x14ac:dyDescent="0.25">
      <c r="A151" s="15" t="s">
        <v>2489</v>
      </c>
      <c r="B151" s="9">
        <v>2</v>
      </c>
    </row>
    <row r="152" spans="1:2" x14ac:dyDescent="0.25">
      <c r="A152" s="15" t="s">
        <v>2525</v>
      </c>
      <c r="B152" s="9">
        <v>2</v>
      </c>
    </row>
    <row r="153" spans="1:2" x14ac:dyDescent="0.25">
      <c r="A153" s="15" t="s">
        <v>2566</v>
      </c>
      <c r="B153" s="9">
        <v>4</v>
      </c>
    </row>
    <row r="154" spans="1:2" x14ac:dyDescent="0.25">
      <c r="A154" s="15" t="s">
        <v>2598</v>
      </c>
      <c r="B154" s="9">
        <v>2</v>
      </c>
    </row>
    <row r="155" spans="1:2" x14ac:dyDescent="0.25">
      <c r="A155" s="15" t="s">
        <v>2265</v>
      </c>
      <c r="B155" s="9">
        <v>4</v>
      </c>
    </row>
    <row r="156" spans="1:2" x14ac:dyDescent="0.25">
      <c r="A156" s="15" t="s">
        <v>2306</v>
      </c>
      <c r="B156" s="9">
        <v>5</v>
      </c>
    </row>
    <row r="157" spans="1:2" x14ac:dyDescent="0.25">
      <c r="A157" s="15" t="s">
        <v>2346</v>
      </c>
      <c r="B157" s="9">
        <v>5</v>
      </c>
    </row>
    <row r="158" spans="1:2" x14ac:dyDescent="0.25">
      <c r="A158" s="15" t="s">
        <v>2412</v>
      </c>
      <c r="B158" s="9">
        <v>4</v>
      </c>
    </row>
    <row r="159" spans="1:2" x14ac:dyDescent="0.25">
      <c r="A159" s="15" t="s">
        <v>2203</v>
      </c>
      <c r="B159" s="9">
        <v>5</v>
      </c>
    </row>
    <row r="160" spans="1:2" x14ac:dyDescent="0.25">
      <c r="A160" s="15" t="s">
        <v>2526</v>
      </c>
      <c r="B160" s="9">
        <v>5</v>
      </c>
    </row>
    <row r="161" spans="1:2" x14ac:dyDescent="0.25">
      <c r="A161" s="15" t="s">
        <v>2567</v>
      </c>
      <c r="B161" s="9">
        <v>3</v>
      </c>
    </row>
    <row r="162" spans="1:2" x14ac:dyDescent="0.25">
      <c r="A162" s="15" t="s">
        <v>2231</v>
      </c>
      <c r="B162" s="9">
        <v>6</v>
      </c>
    </row>
    <row r="163" spans="1:2" x14ac:dyDescent="0.25">
      <c r="A163" s="15" t="s">
        <v>2267</v>
      </c>
      <c r="B163" s="9">
        <v>2</v>
      </c>
    </row>
    <row r="164" spans="1:2" x14ac:dyDescent="0.25">
      <c r="A164" s="15" t="s">
        <v>2348</v>
      </c>
      <c r="B164" s="9">
        <v>2</v>
      </c>
    </row>
    <row r="165" spans="1:2" x14ac:dyDescent="0.25">
      <c r="A165" s="15" t="s">
        <v>2379</v>
      </c>
      <c r="B165" s="9">
        <v>2</v>
      </c>
    </row>
    <row r="166" spans="1:2" x14ac:dyDescent="0.25">
      <c r="A166" s="15" t="s">
        <v>2415</v>
      </c>
      <c r="B166" s="9">
        <v>6</v>
      </c>
    </row>
    <row r="167" spans="1:2" x14ac:dyDescent="0.25">
      <c r="A167" s="15" t="s">
        <v>2458</v>
      </c>
      <c r="B167" s="9">
        <v>2</v>
      </c>
    </row>
    <row r="168" spans="1:2" x14ac:dyDescent="0.25">
      <c r="A168" s="15" t="s">
        <v>2490</v>
      </c>
      <c r="B168" s="9">
        <v>8</v>
      </c>
    </row>
    <row r="169" spans="1:2" x14ac:dyDescent="0.25">
      <c r="A169" s="15" t="s">
        <v>2528</v>
      </c>
      <c r="B169" s="9">
        <v>2</v>
      </c>
    </row>
    <row r="170" spans="1:2" x14ac:dyDescent="0.25">
      <c r="A170" s="15" t="s">
        <v>2568</v>
      </c>
      <c r="B170" s="9">
        <v>3</v>
      </c>
    </row>
    <row r="171" spans="1:2" x14ac:dyDescent="0.25">
      <c r="A171" s="15" t="s">
        <v>2600</v>
      </c>
      <c r="B171" s="9">
        <v>14</v>
      </c>
    </row>
    <row r="172" spans="1:2" x14ac:dyDescent="0.25">
      <c r="A172" s="15" t="s">
        <v>2269</v>
      </c>
      <c r="B172" s="9">
        <v>2</v>
      </c>
    </row>
    <row r="173" spans="1:2" x14ac:dyDescent="0.25">
      <c r="A173" s="15" t="s">
        <v>2308</v>
      </c>
      <c r="B173" s="9">
        <v>6</v>
      </c>
    </row>
    <row r="174" spans="1:2" x14ac:dyDescent="0.25">
      <c r="A174" s="15" t="s">
        <v>2349</v>
      </c>
      <c r="B174" s="9">
        <v>2</v>
      </c>
    </row>
    <row r="175" spans="1:2" x14ac:dyDescent="0.25">
      <c r="A175" s="15" t="s">
        <v>2380</v>
      </c>
      <c r="B175" s="9">
        <v>6</v>
      </c>
    </row>
    <row r="176" spans="1:2" x14ac:dyDescent="0.25">
      <c r="A176" s="15" t="s">
        <v>2416</v>
      </c>
      <c r="B176" s="9">
        <v>2</v>
      </c>
    </row>
    <row r="177" spans="1:2" x14ac:dyDescent="0.25">
      <c r="A177" s="15" t="s">
        <v>2494</v>
      </c>
      <c r="B177" s="9">
        <v>4</v>
      </c>
    </row>
    <row r="178" spans="1:2" x14ac:dyDescent="0.25">
      <c r="A178" s="15" t="s">
        <v>2205</v>
      </c>
      <c r="B178" s="9">
        <v>2</v>
      </c>
    </row>
    <row r="179" spans="1:2" x14ac:dyDescent="0.25">
      <c r="A179" s="15" t="s">
        <v>2530</v>
      </c>
      <c r="B179" s="9">
        <v>2</v>
      </c>
    </row>
    <row r="180" spans="1:2" x14ac:dyDescent="0.25">
      <c r="A180" s="15" t="s">
        <v>2570</v>
      </c>
      <c r="B180" s="9">
        <v>4</v>
      </c>
    </row>
    <row r="181" spans="1:2" x14ac:dyDescent="0.25">
      <c r="A181" s="15" t="s">
        <v>2233</v>
      </c>
      <c r="B181" s="9">
        <v>5</v>
      </c>
    </row>
    <row r="182" spans="1:2" x14ac:dyDescent="0.25">
      <c r="A182" s="15" t="s">
        <v>2271</v>
      </c>
      <c r="B182" s="9">
        <v>7</v>
      </c>
    </row>
    <row r="183" spans="1:2" x14ac:dyDescent="0.25">
      <c r="A183" s="15" t="s">
        <v>2311</v>
      </c>
      <c r="B183" s="9">
        <v>3</v>
      </c>
    </row>
    <row r="184" spans="1:2" x14ac:dyDescent="0.25">
      <c r="A184" s="15" t="s">
        <v>2350</v>
      </c>
      <c r="B184" s="9">
        <v>2</v>
      </c>
    </row>
    <row r="185" spans="1:2" x14ac:dyDescent="0.25">
      <c r="A185" s="15" t="s">
        <v>2418</v>
      </c>
      <c r="B185" s="9">
        <v>4</v>
      </c>
    </row>
    <row r="186" spans="1:2" x14ac:dyDescent="0.25">
      <c r="A186" s="15" t="s">
        <v>2460</v>
      </c>
      <c r="B186" s="9">
        <v>5</v>
      </c>
    </row>
    <row r="187" spans="1:2" x14ac:dyDescent="0.25">
      <c r="A187" s="15" t="s">
        <v>2497</v>
      </c>
      <c r="B187" s="9">
        <v>4</v>
      </c>
    </row>
    <row r="188" spans="1:2" x14ac:dyDescent="0.25">
      <c r="A188" s="15" t="s">
        <v>2207</v>
      </c>
      <c r="B188" s="9">
        <v>6</v>
      </c>
    </row>
    <row r="189" spans="1:2" x14ac:dyDescent="0.25">
      <c r="A189" s="15" t="s">
        <v>2531</v>
      </c>
      <c r="B189" s="9">
        <v>3</v>
      </c>
    </row>
    <row r="190" spans="1:2" x14ac:dyDescent="0.25">
      <c r="A190" s="15" t="s">
        <v>2572</v>
      </c>
      <c r="B190" s="9">
        <v>5</v>
      </c>
    </row>
    <row r="191" spans="1:2" x14ac:dyDescent="0.25">
      <c r="A191" s="15" t="s">
        <v>2606</v>
      </c>
      <c r="B191" s="9">
        <v>4</v>
      </c>
    </row>
    <row r="192" spans="1:2" x14ac:dyDescent="0.25">
      <c r="A192" s="15" t="s">
        <v>2236</v>
      </c>
      <c r="B192" s="9">
        <v>8</v>
      </c>
    </row>
    <row r="193" spans="1:2" x14ac:dyDescent="0.25">
      <c r="A193" s="15" t="s">
        <v>2274</v>
      </c>
      <c r="B193" s="9">
        <v>2</v>
      </c>
    </row>
    <row r="194" spans="1:2" x14ac:dyDescent="0.25">
      <c r="A194" s="15" t="s">
        <v>2313</v>
      </c>
      <c r="B194" s="9">
        <v>4</v>
      </c>
    </row>
    <row r="195" spans="1:2" x14ac:dyDescent="0.25">
      <c r="A195" s="15" t="s">
        <v>2383</v>
      </c>
      <c r="B195" s="9">
        <v>5</v>
      </c>
    </row>
    <row r="196" spans="1:2" x14ac:dyDescent="0.25">
      <c r="A196" s="15" t="s">
        <v>2420</v>
      </c>
      <c r="B196" s="9">
        <v>5</v>
      </c>
    </row>
    <row r="197" spans="1:2" x14ac:dyDescent="0.25">
      <c r="A197" s="15" t="s">
        <v>2462</v>
      </c>
      <c r="B197" s="9">
        <v>3</v>
      </c>
    </row>
    <row r="198" spans="1:2" x14ac:dyDescent="0.25">
      <c r="A198" s="15" t="s">
        <v>2498</v>
      </c>
      <c r="B198" s="9">
        <v>4</v>
      </c>
    </row>
    <row r="199" spans="1:2" x14ac:dyDescent="0.25">
      <c r="A199" s="15" t="s">
        <v>2533</v>
      </c>
      <c r="B199" s="9">
        <v>4</v>
      </c>
    </row>
    <row r="200" spans="1:2" x14ac:dyDescent="0.25">
      <c r="A200" s="15" t="s">
        <v>2575</v>
      </c>
      <c r="B200" s="9">
        <v>4</v>
      </c>
    </row>
    <row r="201" spans="1:2" x14ac:dyDescent="0.25">
      <c r="A201" s="15" t="s">
        <v>2608</v>
      </c>
      <c r="B201" s="9">
        <v>8</v>
      </c>
    </row>
    <row r="202" spans="1:2" x14ac:dyDescent="0.25">
      <c r="A202" s="15" t="s">
        <v>2240</v>
      </c>
      <c r="B202" s="9">
        <v>2</v>
      </c>
    </row>
    <row r="203" spans="1:2" x14ac:dyDescent="0.25">
      <c r="A203" s="15" t="s">
        <v>2315</v>
      </c>
      <c r="B203" s="9">
        <v>6</v>
      </c>
    </row>
    <row r="204" spans="1:2" x14ac:dyDescent="0.25">
      <c r="A204" s="15" t="s">
        <v>2421</v>
      </c>
      <c r="B204" s="9">
        <v>5</v>
      </c>
    </row>
    <row r="205" spans="1:2" x14ac:dyDescent="0.25">
      <c r="A205" s="15" t="s">
        <v>2463</v>
      </c>
      <c r="B205" s="9">
        <v>2</v>
      </c>
    </row>
    <row r="206" spans="1:2" x14ac:dyDescent="0.25">
      <c r="A206" s="15" t="s">
        <v>2499</v>
      </c>
      <c r="B206" s="9">
        <v>3</v>
      </c>
    </row>
    <row r="207" spans="1:2" x14ac:dyDescent="0.25">
      <c r="A207" s="15" t="s">
        <v>2208</v>
      </c>
      <c r="B207" s="9">
        <v>2</v>
      </c>
    </row>
    <row r="208" spans="1:2" x14ac:dyDescent="0.25">
      <c r="A208" s="15" t="s">
        <v>2535</v>
      </c>
      <c r="B208" s="9">
        <v>7</v>
      </c>
    </row>
    <row r="209" spans="1:2" x14ac:dyDescent="0.25">
      <c r="A209" s="15" t="s">
        <v>2578</v>
      </c>
      <c r="B209" s="9">
        <v>6</v>
      </c>
    </row>
    <row r="210" spans="1:2" x14ac:dyDescent="0.25">
      <c r="A210" s="15" t="s">
        <v>2611</v>
      </c>
      <c r="B210" s="9">
        <v>4</v>
      </c>
    </row>
    <row r="211" spans="1:2" x14ac:dyDescent="0.25">
      <c r="A211" s="15" t="s">
        <v>2241</v>
      </c>
      <c r="B211" s="9">
        <v>2</v>
      </c>
    </row>
    <row r="212" spans="1:2" x14ac:dyDescent="0.25">
      <c r="A212" s="15" t="s">
        <v>2276</v>
      </c>
      <c r="B212" s="9">
        <v>2</v>
      </c>
    </row>
    <row r="213" spans="1:2" x14ac:dyDescent="0.25">
      <c r="A213" s="15" t="s">
        <v>2316</v>
      </c>
      <c r="B213" s="9">
        <v>3</v>
      </c>
    </row>
    <row r="214" spans="1:2" x14ac:dyDescent="0.25">
      <c r="A214" s="15" t="s">
        <v>2352</v>
      </c>
      <c r="B214" s="9">
        <v>2</v>
      </c>
    </row>
    <row r="215" spans="1:2" x14ac:dyDescent="0.25">
      <c r="A215" s="15" t="s">
        <v>2386</v>
      </c>
      <c r="B215" s="9">
        <v>4</v>
      </c>
    </row>
    <row r="216" spans="1:2" x14ac:dyDescent="0.25">
      <c r="A216" s="15" t="s">
        <v>2422</v>
      </c>
      <c r="B216" s="9">
        <v>6</v>
      </c>
    </row>
    <row r="217" spans="1:2" x14ac:dyDescent="0.25">
      <c r="A217" s="15" t="s">
        <v>2464</v>
      </c>
      <c r="B217" s="9">
        <v>2</v>
      </c>
    </row>
    <row r="218" spans="1:2" x14ac:dyDescent="0.25">
      <c r="A218" s="15" t="s">
        <v>2500</v>
      </c>
      <c r="B218" s="9">
        <v>5</v>
      </c>
    </row>
    <row r="219" spans="1:2" x14ac:dyDescent="0.25">
      <c r="A219" s="15" t="s">
        <v>2539</v>
      </c>
      <c r="B219" s="9">
        <v>5</v>
      </c>
    </row>
    <row r="220" spans="1:2" x14ac:dyDescent="0.25">
      <c r="A220" s="15" t="s">
        <v>2580</v>
      </c>
      <c r="B220" s="9">
        <v>2</v>
      </c>
    </row>
    <row r="221" spans="1:2" x14ac:dyDescent="0.25">
      <c r="A221" s="15" t="s">
        <v>2613</v>
      </c>
      <c r="B221" s="9">
        <v>2</v>
      </c>
    </row>
    <row r="222" spans="1:2" x14ac:dyDescent="0.25">
      <c r="A222" s="15" t="s">
        <v>2243</v>
      </c>
      <c r="B222" s="9">
        <v>3</v>
      </c>
    </row>
    <row r="223" spans="1:2" x14ac:dyDescent="0.25">
      <c r="A223" s="15" t="s">
        <v>2278</v>
      </c>
      <c r="B223" s="9">
        <v>2</v>
      </c>
    </row>
    <row r="224" spans="1:2" x14ac:dyDescent="0.25">
      <c r="A224" s="15" t="s">
        <v>2354</v>
      </c>
      <c r="B224" s="9">
        <v>5</v>
      </c>
    </row>
    <row r="225" spans="1:2" x14ac:dyDescent="0.25">
      <c r="A225" s="15" t="s">
        <v>2388</v>
      </c>
      <c r="B225" s="9">
        <v>5</v>
      </c>
    </row>
    <row r="226" spans="1:2" x14ac:dyDescent="0.25">
      <c r="A226" s="15" t="s">
        <v>2425</v>
      </c>
      <c r="B226" s="9">
        <v>3</v>
      </c>
    </row>
    <row r="227" spans="1:2" x14ac:dyDescent="0.25">
      <c r="A227" s="15" t="s">
        <v>2466</v>
      </c>
      <c r="B227" s="9">
        <v>8</v>
      </c>
    </row>
    <row r="228" spans="1:2" x14ac:dyDescent="0.25">
      <c r="A228" s="15" t="s">
        <v>2210</v>
      </c>
      <c r="B228" s="9">
        <v>2</v>
      </c>
    </row>
    <row r="229" spans="1:2" x14ac:dyDescent="0.25">
      <c r="A229" s="15" t="s">
        <v>2581</v>
      </c>
      <c r="B229" s="9">
        <v>5</v>
      </c>
    </row>
    <row r="230" spans="1:2" x14ac:dyDescent="0.25">
      <c r="A230" s="15" t="s">
        <v>2614</v>
      </c>
      <c r="B230" s="9">
        <v>2</v>
      </c>
    </row>
    <row r="231" spans="1:2" x14ac:dyDescent="0.25">
      <c r="A231" s="15" t="s">
        <v>2245</v>
      </c>
      <c r="B231" s="9">
        <v>3</v>
      </c>
    </row>
    <row r="232" spans="1:2" x14ac:dyDescent="0.25">
      <c r="A232" s="15" t="s">
        <v>2279</v>
      </c>
      <c r="B232" s="9">
        <v>2</v>
      </c>
    </row>
    <row r="233" spans="1:2" x14ac:dyDescent="0.25">
      <c r="A233" s="15" t="s">
        <v>2318</v>
      </c>
      <c r="B233" s="9">
        <v>6</v>
      </c>
    </row>
    <row r="234" spans="1:2" x14ac:dyDescent="0.25">
      <c r="A234" s="15" t="s">
        <v>2426</v>
      </c>
      <c r="B234" s="9">
        <v>3</v>
      </c>
    </row>
    <row r="235" spans="1:2" x14ac:dyDescent="0.25">
      <c r="A235" s="15" t="s">
        <v>2212</v>
      </c>
      <c r="B235" s="9">
        <v>5</v>
      </c>
    </row>
    <row r="236" spans="1:2" x14ac:dyDescent="0.25">
      <c r="A236" s="15" t="s">
        <v>2246</v>
      </c>
      <c r="B236" s="9">
        <v>4</v>
      </c>
    </row>
    <row r="237" spans="1:2" x14ac:dyDescent="0.25">
      <c r="A237" s="15" t="s">
        <v>2281</v>
      </c>
      <c r="B237" s="9">
        <v>2</v>
      </c>
    </row>
    <row r="238" spans="1:2" x14ac:dyDescent="0.25">
      <c r="A238" s="15" t="s">
        <v>2322</v>
      </c>
      <c r="B238" s="9">
        <v>3</v>
      </c>
    </row>
    <row r="239" spans="1:2" x14ac:dyDescent="0.25">
      <c r="A239" s="15" t="s">
        <v>2356</v>
      </c>
      <c r="B239" s="9">
        <v>14</v>
      </c>
    </row>
    <row r="240" spans="1:2" x14ac:dyDescent="0.25">
      <c r="A240" s="15" t="s">
        <v>2389</v>
      </c>
      <c r="B240" s="9">
        <v>2</v>
      </c>
    </row>
    <row r="241" spans="1:2" x14ac:dyDescent="0.25">
      <c r="A241" s="15" t="s">
        <v>2427</v>
      </c>
      <c r="B241" s="9">
        <v>5</v>
      </c>
    </row>
    <row r="242" spans="1:2" x14ac:dyDescent="0.25">
      <c r="A242" s="15" t="s">
        <v>2469</v>
      </c>
      <c r="B242" s="9">
        <v>2</v>
      </c>
    </row>
    <row r="243" spans="1:2" x14ac:dyDescent="0.25">
      <c r="A243" s="15" t="s">
        <v>2582</v>
      </c>
      <c r="B243" s="9">
        <v>3</v>
      </c>
    </row>
    <row r="244" spans="1:2" x14ac:dyDescent="0.25">
      <c r="A244" s="15" t="s">
        <v>2615</v>
      </c>
      <c r="B244" s="9">
        <v>6</v>
      </c>
    </row>
    <row r="245" spans="1:2" x14ac:dyDescent="0.25">
      <c r="A245" s="15" t="s">
        <v>2282</v>
      </c>
      <c r="B245" s="9">
        <v>2</v>
      </c>
    </row>
    <row r="246" spans="1:2" x14ac:dyDescent="0.25">
      <c r="A246" s="15" t="s">
        <v>2323</v>
      </c>
      <c r="B246" s="9">
        <v>7</v>
      </c>
    </row>
    <row r="247" spans="1:2" x14ac:dyDescent="0.25">
      <c r="A247" s="15" t="s">
        <v>2360</v>
      </c>
      <c r="B247" s="9">
        <v>8</v>
      </c>
    </row>
    <row r="248" spans="1:2" x14ac:dyDescent="0.25">
      <c r="A248" s="15" t="s">
        <v>2391</v>
      </c>
      <c r="B248" s="9">
        <v>2</v>
      </c>
    </row>
    <row r="249" spans="1:2" x14ac:dyDescent="0.25">
      <c r="A249" s="15" t="s">
        <v>2430</v>
      </c>
      <c r="B249" s="9">
        <v>2</v>
      </c>
    </row>
    <row r="250" spans="1:2" x14ac:dyDescent="0.25">
      <c r="A250" s="15" t="s">
        <v>2503</v>
      </c>
      <c r="B250" s="9">
        <v>3</v>
      </c>
    </row>
    <row r="251" spans="1:2" x14ac:dyDescent="0.25">
      <c r="A251" s="15" t="s">
        <v>2214</v>
      </c>
      <c r="B251" s="9">
        <v>4</v>
      </c>
    </row>
    <row r="252" spans="1:2" x14ac:dyDescent="0.25">
      <c r="A252" s="15" t="s">
        <v>2541</v>
      </c>
      <c r="B252" s="9">
        <v>10</v>
      </c>
    </row>
    <row r="253" spans="1:2" x14ac:dyDescent="0.25">
      <c r="A253" s="15" t="s">
        <v>2584</v>
      </c>
      <c r="B253" s="9">
        <v>5</v>
      </c>
    </row>
    <row r="254" spans="1:2" x14ac:dyDescent="0.25">
      <c r="A254" s="15" t="s">
        <v>2325</v>
      </c>
      <c r="B254" s="9">
        <v>5</v>
      </c>
    </row>
    <row r="255" spans="1:2" x14ac:dyDescent="0.25">
      <c r="A255" s="15" t="s">
        <v>2393</v>
      </c>
      <c r="B255" s="9">
        <v>2</v>
      </c>
    </row>
    <row r="256" spans="1:2" x14ac:dyDescent="0.25">
      <c r="A256" s="15" t="s">
        <v>2432</v>
      </c>
      <c r="B256" s="9">
        <v>2</v>
      </c>
    </row>
    <row r="257" spans="1:2" x14ac:dyDescent="0.25">
      <c r="A257" s="15" t="s">
        <v>2505</v>
      </c>
      <c r="B257" s="9">
        <v>4</v>
      </c>
    </row>
    <row r="258" spans="1:2" x14ac:dyDescent="0.25">
      <c r="A258" s="15" t="s">
        <v>2215</v>
      </c>
      <c r="B258" s="9">
        <v>5</v>
      </c>
    </row>
    <row r="259" spans="1:2" x14ac:dyDescent="0.25">
      <c r="A259" s="15" t="s">
        <v>2544</v>
      </c>
      <c r="B259" s="9">
        <v>5</v>
      </c>
    </row>
    <row r="260" spans="1:2" x14ac:dyDescent="0.25">
      <c r="A260" s="15" t="s">
        <v>2248</v>
      </c>
      <c r="B260" s="9">
        <v>2</v>
      </c>
    </row>
    <row r="261" spans="1:2" x14ac:dyDescent="0.25">
      <c r="A261" s="15" t="s">
        <v>2284</v>
      </c>
      <c r="B261" s="9">
        <v>4</v>
      </c>
    </row>
    <row r="262" spans="1:2" x14ac:dyDescent="0.25">
      <c r="A262" s="15" t="s">
        <v>2327</v>
      </c>
      <c r="B262" s="9">
        <v>9</v>
      </c>
    </row>
    <row r="263" spans="1:2" x14ac:dyDescent="0.25">
      <c r="A263" s="15" t="s">
        <v>2395</v>
      </c>
      <c r="B263" s="9">
        <v>2</v>
      </c>
    </row>
    <row r="264" spans="1:2" x14ac:dyDescent="0.25">
      <c r="A264" s="15" t="s">
        <v>2434</v>
      </c>
      <c r="B264" s="9">
        <v>2</v>
      </c>
    </row>
    <row r="265" spans="1:2" x14ac:dyDescent="0.25">
      <c r="A265" s="15" t="s">
        <v>2471</v>
      </c>
      <c r="B265" s="9">
        <v>7</v>
      </c>
    </row>
    <row r="266" spans="1:2" x14ac:dyDescent="0.25">
      <c r="A266" s="15" t="s">
        <v>2508</v>
      </c>
      <c r="B266" s="9">
        <v>7</v>
      </c>
    </row>
    <row r="267" spans="1:2" x14ac:dyDescent="0.25">
      <c r="A267" s="15" t="s">
        <v>2217</v>
      </c>
      <c r="B267" s="9">
        <v>5</v>
      </c>
    </row>
    <row r="268" spans="1:2" x14ac:dyDescent="0.25">
      <c r="A268" s="15" t="s">
        <v>2547</v>
      </c>
      <c r="B268" s="9">
        <v>4</v>
      </c>
    </row>
    <row r="269" spans="1:2" x14ac:dyDescent="0.25">
      <c r="A269" s="15" t="s">
        <v>2587</v>
      </c>
      <c r="B269" s="9">
        <v>10</v>
      </c>
    </row>
    <row r="270" spans="1:2" x14ac:dyDescent="0.25">
      <c r="A270" s="15" t="s">
        <v>2617</v>
      </c>
      <c r="B270" s="9">
        <v>2</v>
      </c>
    </row>
    <row r="271" spans="1:2" x14ac:dyDescent="0.25">
      <c r="A271" s="15" t="s">
        <v>2249</v>
      </c>
      <c r="B271" s="9">
        <v>5</v>
      </c>
    </row>
    <row r="272" spans="1:2" x14ac:dyDescent="0.25">
      <c r="A272" s="15" t="s">
        <v>2285</v>
      </c>
      <c r="B272" s="9">
        <v>10</v>
      </c>
    </row>
    <row r="273" spans="1:2" x14ac:dyDescent="0.25">
      <c r="A273" s="15" t="s">
        <v>2329</v>
      </c>
      <c r="B273" s="9">
        <v>2</v>
      </c>
    </row>
    <row r="274" spans="1:2" x14ac:dyDescent="0.25">
      <c r="A274" s="15" t="s">
        <v>2361</v>
      </c>
      <c r="B274" s="9">
        <v>3</v>
      </c>
    </row>
    <row r="275" spans="1:2" x14ac:dyDescent="0.25">
      <c r="A275" s="15" t="s">
        <v>2396</v>
      </c>
      <c r="B275" s="9">
        <v>4</v>
      </c>
    </row>
    <row r="276" spans="1:2" x14ac:dyDescent="0.25">
      <c r="A276" s="15" t="s">
        <v>2436</v>
      </c>
      <c r="B276" s="9">
        <v>9</v>
      </c>
    </row>
    <row r="277" spans="1:2" x14ac:dyDescent="0.25">
      <c r="A277" s="15" t="s">
        <v>2475</v>
      </c>
      <c r="B277" s="9">
        <v>2</v>
      </c>
    </row>
    <row r="278" spans="1:2" x14ac:dyDescent="0.25">
      <c r="A278" s="15" t="s">
        <v>2512</v>
      </c>
      <c r="B278" s="9">
        <v>2</v>
      </c>
    </row>
    <row r="279" spans="1:2" x14ac:dyDescent="0.25">
      <c r="A279" s="15" t="s">
        <v>2548</v>
      </c>
      <c r="B279" s="9">
        <v>7</v>
      </c>
    </row>
    <row r="280" spans="1:2" x14ac:dyDescent="0.25">
      <c r="A280" s="15" t="s">
        <v>2252</v>
      </c>
      <c r="B280" s="9">
        <v>2</v>
      </c>
    </row>
    <row r="281" spans="1:2" x14ac:dyDescent="0.25">
      <c r="A281" s="15" t="s">
        <v>2330</v>
      </c>
      <c r="B281" s="9">
        <v>9</v>
      </c>
    </row>
    <row r="282" spans="1:2" x14ac:dyDescent="0.25">
      <c r="A282" s="15" t="s">
        <v>2399</v>
      </c>
      <c r="B282" s="9">
        <v>5</v>
      </c>
    </row>
    <row r="283" spans="1:2" x14ac:dyDescent="0.25">
      <c r="A283" s="15" t="s">
        <v>2438</v>
      </c>
      <c r="B283" s="9">
        <v>2</v>
      </c>
    </row>
    <row r="284" spans="1:2" x14ac:dyDescent="0.25">
      <c r="A284" s="15" t="s">
        <v>2514</v>
      </c>
      <c r="B284" s="9">
        <v>3</v>
      </c>
    </row>
    <row r="285" spans="1:2" x14ac:dyDescent="0.25">
      <c r="A285" s="15" t="s">
        <v>2220</v>
      </c>
      <c r="B285" s="9">
        <v>4</v>
      </c>
    </row>
    <row r="286" spans="1:2" x14ac:dyDescent="0.25">
      <c r="A286" s="15" t="s">
        <v>2289</v>
      </c>
      <c r="B286" s="9">
        <v>2</v>
      </c>
    </row>
    <row r="287" spans="1:2" x14ac:dyDescent="0.25">
      <c r="A287" s="15" t="s">
        <v>2363</v>
      </c>
      <c r="B287" s="9">
        <v>7</v>
      </c>
    </row>
    <row r="288" spans="1:2" x14ac:dyDescent="0.25">
      <c r="A288" s="15" t="s">
        <v>2401</v>
      </c>
      <c r="B288" s="9">
        <v>2</v>
      </c>
    </row>
    <row r="289" spans="1:2" x14ac:dyDescent="0.25">
      <c r="A289" s="15" t="s">
        <v>2440</v>
      </c>
      <c r="B289" s="9">
        <v>2</v>
      </c>
    </row>
    <row r="290" spans="1:2" x14ac:dyDescent="0.25">
      <c r="A290" s="15" t="s">
        <v>2477</v>
      </c>
      <c r="B290" s="9">
        <v>5</v>
      </c>
    </row>
    <row r="291" spans="1:2" x14ac:dyDescent="0.25">
      <c r="A291" s="15" t="s">
        <v>2516</v>
      </c>
      <c r="B291" s="9">
        <v>3</v>
      </c>
    </row>
    <row r="292" spans="1:2" x14ac:dyDescent="0.25">
      <c r="A292" s="15" t="s">
        <v>2223</v>
      </c>
      <c r="B292" s="9">
        <v>2</v>
      </c>
    </row>
    <row r="293" spans="1:2" x14ac:dyDescent="0.25">
      <c r="A293" s="15" t="s">
        <v>2551</v>
      </c>
      <c r="B293" s="9">
        <v>9</v>
      </c>
    </row>
    <row r="294" spans="1:2" x14ac:dyDescent="0.25">
      <c r="A294" s="15" t="s">
        <v>2589</v>
      </c>
      <c r="B294" s="9">
        <v>7</v>
      </c>
    </row>
    <row r="295" spans="1:2" x14ac:dyDescent="0.25">
      <c r="A295" s="15" t="s">
        <v>2291</v>
      </c>
      <c r="B295" s="9">
        <v>4</v>
      </c>
    </row>
    <row r="296" spans="1:2" x14ac:dyDescent="0.25">
      <c r="A296" s="15" t="s">
        <v>2333</v>
      </c>
      <c r="B296" s="9">
        <v>4</v>
      </c>
    </row>
    <row r="297" spans="1:2" x14ac:dyDescent="0.25">
      <c r="A297" s="15" t="s">
        <v>2367</v>
      </c>
      <c r="B297" s="9">
        <v>2</v>
      </c>
    </row>
    <row r="298" spans="1:2" x14ac:dyDescent="0.25">
      <c r="A298" s="15" t="s">
        <v>2402</v>
      </c>
      <c r="B298" s="9">
        <v>3</v>
      </c>
    </row>
    <row r="299" spans="1:2" x14ac:dyDescent="0.25">
      <c r="A299" s="15" t="s">
        <v>2442</v>
      </c>
      <c r="B299" s="9">
        <v>10</v>
      </c>
    </row>
    <row r="300" spans="1:2" x14ac:dyDescent="0.25">
      <c r="A300" s="15" t="s">
        <v>2517</v>
      </c>
      <c r="B300" s="9">
        <v>4</v>
      </c>
    </row>
    <row r="301" spans="1:2" x14ac:dyDescent="0.25">
      <c r="A301" s="15" t="s">
        <v>2225</v>
      </c>
      <c r="B301" s="9">
        <v>4</v>
      </c>
    </row>
    <row r="302" spans="1:2" x14ac:dyDescent="0.25">
      <c r="A302" s="15" t="s">
        <v>2293</v>
      </c>
      <c r="B302" s="9">
        <v>10</v>
      </c>
    </row>
    <row r="303" spans="1:2" x14ac:dyDescent="0.25">
      <c r="A303" s="15" t="s">
        <v>2369</v>
      </c>
      <c r="B303" s="9">
        <v>4</v>
      </c>
    </row>
    <row r="304" spans="1:2" x14ac:dyDescent="0.25">
      <c r="A304" s="15" t="s">
        <v>2444</v>
      </c>
      <c r="B304" s="9">
        <v>2</v>
      </c>
    </row>
    <row r="305" spans="1:2" x14ac:dyDescent="0.25">
      <c r="A305" s="32">
        <v>44927</v>
      </c>
      <c r="B305" s="9">
        <v>2</v>
      </c>
    </row>
    <row r="306" spans="1:2" x14ac:dyDescent="0.25">
      <c r="A306" s="32">
        <v>44929</v>
      </c>
      <c r="B306" s="9">
        <v>2</v>
      </c>
    </row>
    <row r="307" spans="1:2" x14ac:dyDescent="0.25">
      <c r="A307" s="32">
        <v>44930</v>
      </c>
      <c r="B307" s="9">
        <v>5</v>
      </c>
    </row>
    <row r="308" spans="1:2" x14ac:dyDescent="0.25">
      <c r="A308" s="32">
        <v>44931</v>
      </c>
      <c r="B308" s="9">
        <v>6</v>
      </c>
    </row>
    <row r="309" spans="1:2" x14ac:dyDescent="0.25">
      <c r="A309" s="32">
        <v>44932</v>
      </c>
      <c r="B309" s="9">
        <v>9</v>
      </c>
    </row>
    <row r="310" spans="1:2" x14ac:dyDescent="0.25">
      <c r="A310" s="32">
        <v>44933</v>
      </c>
      <c r="B310" s="9">
        <v>2</v>
      </c>
    </row>
    <row r="311" spans="1:2" x14ac:dyDescent="0.25">
      <c r="A311" s="32">
        <v>44934</v>
      </c>
      <c r="B311" s="9">
        <v>12</v>
      </c>
    </row>
    <row r="312" spans="1:2" x14ac:dyDescent="0.25">
      <c r="A312" s="32">
        <v>44935</v>
      </c>
      <c r="B312" s="9">
        <v>5</v>
      </c>
    </row>
    <row r="313" spans="1:2" x14ac:dyDescent="0.25">
      <c r="A313" s="32">
        <v>44936</v>
      </c>
      <c r="B313" s="9">
        <v>3</v>
      </c>
    </row>
    <row r="314" spans="1:2" x14ac:dyDescent="0.25">
      <c r="A314" s="32">
        <v>44938</v>
      </c>
      <c r="B314" s="9">
        <v>2</v>
      </c>
    </row>
    <row r="315" spans="1:2" x14ac:dyDescent="0.25">
      <c r="A315" s="32">
        <v>44961</v>
      </c>
      <c r="B315" s="9">
        <v>6</v>
      </c>
    </row>
    <row r="316" spans="1:2" x14ac:dyDescent="0.25">
      <c r="A316" s="32">
        <v>44962</v>
      </c>
      <c r="B316" s="9">
        <v>2</v>
      </c>
    </row>
    <row r="317" spans="1:2" x14ac:dyDescent="0.25">
      <c r="A317" s="32">
        <v>44963</v>
      </c>
      <c r="B317" s="9">
        <v>4</v>
      </c>
    </row>
    <row r="318" spans="1:2" x14ac:dyDescent="0.25">
      <c r="A318" s="32">
        <v>44965</v>
      </c>
      <c r="B318" s="9">
        <v>2</v>
      </c>
    </row>
    <row r="319" spans="1:2" x14ac:dyDescent="0.25">
      <c r="A319" s="32">
        <v>44966</v>
      </c>
      <c r="B319" s="9">
        <v>4</v>
      </c>
    </row>
    <row r="320" spans="1:2" x14ac:dyDescent="0.25">
      <c r="A320" s="32">
        <v>44967</v>
      </c>
      <c r="B320" s="9">
        <v>6</v>
      </c>
    </row>
    <row r="321" spans="1:2" x14ac:dyDescent="0.25">
      <c r="A321" s="32">
        <v>44968</v>
      </c>
      <c r="B321" s="9">
        <v>2</v>
      </c>
    </row>
    <row r="322" spans="1:2" x14ac:dyDescent="0.25">
      <c r="A322" s="32">
        <v>44986</v>
      </c>
      <c r="B322" s="9">
        <v>7</v>
      </c>
    </row>
    <row r="323" spans="1:2" x14ac:dyDescent="0.25">
      <c r="A323" s="32">
        <v>44987</v>
      </c>
      <c r="B323" s="9">
        <v>2</v>
      </c>
    </row>
    <row r="324" spans="1:2" x14ac:dyDescent="0.25">
      <c r="A324" s="32">
        <v>44990</v>
      </c>
      <c r="B324" s="9">
        <v>5</v>
      </c>
    </row>
    <row r="325" spans="1:2" x14ac:dyDescent="0.25">
      <c r="A325" s="32">
        <v>44993</v>
      </c>
      <c r="B325" s="9">
        <v>3</v>
      </c>
    </row>
    <row r="326" spans="1:2" x14ac:dyDescent="0.25">
      <c r="A326" s="32">
        <v>44994</v>
      </c>
      <c r="B326" s="9">
        <v>3</v>
      </c>
    </row>
    <row r="327" spans="1:2" x14ac:dyDescent="0.25">
      <c r="A327" s="32">
        <v>44995</v>
      </c>
      <c r="B327" s="9">
        <v>3</v>
      </c>
    </row>
    <row r="328" spans="1:2" x14ac:dyDescent="0.25">
      <c r="A328" s="32">
        <v>44997</v>
      </c>
      <c r="B328" s="9">
        <v>6</v>
      </c>
    </row>
    <row r="329" spans="1:2" x14ac:dyDescent="0.25">
      <c r="A329" s="32">
        <v>45017</v>
      </c>
      <c r="B329" s="9">
        <v>5</v>
      </c>
    </row>
    <row r="330" spans="1:2" x14ac:dyDescent="0.25">
      <c r="A330" s="32">
        <v>45020</v>
      </c>
      <c r="B330" s="9">
        <v>6</v>
      </c>
    </row>
    <row r="331" spans="1:2" x14ac:dyDescent="0.25">
      <c r="A331" s="32">
        <v>45021</v>
      </c>
      <c r="B331" s="9">
        <v>2</v>
      </c>
    </row>
    <row r="332" spans="1:2" x14ac:dyDescent="0.25">
      <c r="A332" s="32">
        <v>45022</v>
      </c>
      <c r="B332" s="9">
        <v>2</v>
      </c>
    </row>
    <row r="333" spans="1:2" x14ac:dyDescent="0.25">
      <c r="A333" s="32">
        <v>45026</v>
      </c>
      <c r="B333" s="9">
        <v>4</v>
      </c>
    </row>
    <row r="334" spans="1:2" x14ac:dyDescent="0.25">
      <c r="A334" s="32">
        <v>45027</v>
      </c>
      <c r="B334" s="9">
        <v>6</v>
      </c>
    </row>
    <row r="335" spans="1:2" x14ac:dyDescent="0.25">
      <c r="A335" s="32">
        <v>45028</v>
      </c>
      <c r="B335" s="9">
        <v>2</v>
      </c>
    </row>
    <row r="336" spans="1:2" x14ac:dyDescent="0.25">
      <c r="A336" s="32">
        <v>45047</v>
      </c>
      <c r="B336" s="9">
        <v>2</v>
      </c>
    </row>
    <row r="337" spans="1:2" x14ac:dyDescent="0.25">
      <c r="A337" s="32">
        <v>45049</v>
      </c>
      <c r="B337" s="9">
        <v>6</v>
      </c>
    </row>
    <row r="338" spans="1:2" x14ac:dyDescent="0.25">
      <c r="A338" s="32">
        <v>45052</v>
      </c>
      <c r="B338" s="9">
        <v>2</v>
      </c>
    </row>
    <row r="339" spans="1:2" x14ac:dyDescent="0.25">
      <c r="A339" s="32">
        <v>45053</v>
      </c>
      <c r="B339" s="9">
        <v>2</v>
      </c>
    </row>
    <row r="340" spans="1:2" x14ac:dyDescent="0.25">
      <c r="A340" s="32">
        <v>45055</v>
      </c>
      <c r="B340" s="9">
        <v>4</v>
      </c>
    </row>
    <row r="341" spans="1:2" x14ac:dyDescent="0.25">
      <c r="A341" s="32">
        <v>45057</v>
      </c>
      <c r="B341" s="9">
        <v>8</v>
      </c>
    </row>
    <row r="342" spans="1:2" x14ac:dyDescent="0.25">
      <c r="A342" s="32">
        <v>45058</v>
      </c>
      <c r="B342" s="9">
        <v>3</v>
      </c>
    </row>
    <row r="343" spans="1:2" x14ac:dyDescent="0.25">
      <c r="A343" s="32">
        <v>45078</v>
      </c>
      <c r="B343" s="9">
        <v>5</v>
      </c>
    </row>
    <row r="344" spans="1:2" x14ac:dyDescent="0.25">
      <c r="A344" s="32">
        <v>45079</v>
      </c>
      <c r="B344" s="9">
        <v>4</v>
      </c>
    </row>
    <row r="345" spans="1:2" x14ac:dyDescent="0.25">
      <c r="A345" s="32">
        <v>45080</v>
      </c>
      <c r="B345" s="9">
        <v>8</v>
      </c>
    </row>
    <row r="346" spans="1:2" x14ac:dyDescent="0.25">
      <c r="A346" s="32">
        <v>45082</v>
      </c>
      <c r="B346" s="9">
        <v>7</v>
      </c>
    </row>
    <row r="347" spans="1:2" x14ac:dyDescent="0.25">
      <c r="A347" s="32">
        <v>45083</v>
      </c>
      <c r="B347" s="9">
        <v>2</v>
      </c>
    </row>
    <row r="348" spans="1:2" x14ac:dyDescent="0.25">
      <c r="A348" s="32">
        <v>45085</v>
      </c>
      <c r="B348" s="9">
        <v>2</v>
      </c>
    </row>
    <row r="349" spans="1:2" x14ac:dyDescent="0.25">
      <c r="A349" s="32">
        <v>45086</v>
      </c>
      <c r="B349" s="9">
        <v>5</v>
      </c>
    </row>
    <row r="350" spans="1:2" x14ac:dyDescent="0.25">
      <c r="A350" s="32">
        <v>45087</v>
      </c>
      <c r="B350" s="9">
        <v>5</v>
      </c>
    </row>
    <row r="351" spans="1:2" x14ac:dyDescent="0.25">
      <c r="A351" s="32">
        <v>45089</v>
      </c>
      <c r="B351" s="9">
        <v>4</v>
      </c>
    </row>
    <row r="352" spans="1:2" x14ac:dyDescent="0.25">
      <c r="A352" s="32">
        <v>45109</v>
      </c>
      <c r="B352" s="9">
        <v>2</v>
      </c>
    </row>
    <row r="353" spans="1:2" x14ac:dyDescent="0.25">
      <c r="A353" s="32">
        <v>45110</v>
      </c>
      <c r="B353" s="9">
        <v>6</v>
      </c>
    </row>
    <row r="354" spans="1:2" x14ac:dyDescent="0.25">
      <c r="A354" s="32">
        <v>45111</v>
      </c>
      <c r="B354" s="9">
        <v>2</v>
      </c>
    </row>
    <row r="355" spans="1:2" x14ac:dyDescent="0.25">
      <c r="A355" s="32">
        <v>45112</v>
      </c>
      <c r="B355" s="9">
        <v>2</v>
      </c>
    </row>
    <row r="356" spans="1:2" x14ac:dyDescent="0.25">
      <c r="A356" s="32">
        <v>45115</v>
      </c>
      <c r="B356" s="9">
        <v>6</v>
      </c>
    </row>
    <row r="357" spans="1:2" x14ac:dyDescent="0.25">
      <c r="A357" s="32">
        <v>45116</v>
      </c>
      <c r="B357" s="9">
        <v>5</v>
      </c>
    </row>
    <row r="358" spans="1:2" x14ac:dyDescent="0.25">
      <c r="A358" s="32">
        <v>45118</v>
      </c>
      <c r="B358" s="9">
        <v>6</v>
      </c>
    </row>
    <row r="359" spans="1:2" x14ac:dyDescent="0.25">
      <c r="A359" s="32">
        <v>45119</v>
      </c>
      <c r="B359" s="9">
        <v>2</v>
      </c>
    </row>
    <row r="360" spans="1:2" x14ac:dyDescent="0.25">
      <c r="A360" s="32">
        <v>45140</v>
      </c>
      <c r="B360" s="9">
        <v>3</v>
      </c>
    </row>
    <row r="361" spans="1:2" x14ac:dyDescent="0.25">
      <c r="A361" s="32">
        <v>45142</v>
      </c>
      <c r="B361" s="9">
        <v>4</v>
      </c>
    </row>
    <row r="362" spans="1:2" x14ac:dyDescent="0.25">
      <c r="A362" s="32">
        <v>45144</v>
      </c>
      <c r="B362" s="9">
        <v>5</v>
      </c>
    </row>
    <row r="363" spans="1:2" x14ac:dyDescent="0.25">
      <c r="A363" s="32">
        <v>45145</v>
      </c>
      <c r="B363" s="9">
        <v>2</v>
      </c>
    </row>
    <row r="364" spans="1:2" x14ac:dyDescent="0.25">
      <c r="A364" s="32">
        <v>45146</v>
      </c>
      <c r="B364" s="9">
        <v>5</v>
      </c>
    </row>
    <row r="365" spans="1:2" x14ac:dyDescent="0.25">
      <c r="A365" s="32">
        <v>45147</v>
      </c>
      <c r="B365" s="9">
        <v>7</v>
      </c>
    </row>
    <row r="366" spans="1:2" x14ac:dyDescent="0.25">
      <c r="A366" s="32">
        <v>45148</v>
      </c>
      <c r="B366" s="9">
        <v>2</v>
      </c>
    </row>
    <row r="367" spans="1:2" x14ac:dyDescent="0.25">
      <c r="A367" s="32">
        <v>45149</v>
      </c>
      <c r="B367" s="9">
        <v>3</v>
      </c>
    </row>
    <row r="368" spans="1:2" x14ac:dyDescent="0.25">
      <c r="A368" s="32">
        <v>45170</v>
      </c>
      <c r="B368" s="9">
        <v>6</v>
      </c>
    </row>
    <row r="369" spans="1:2" x14ac:dyDescent="0.25">
      <c r="A369" s="32">
        <v>45171</v>
      </c>
      <c r="B369" s="9">
        <v>4</v>
      </c>
    </row>
    <row r="370" spans="1:2" x14ac:dyDescent="0.25">
      <c r="A370" s="32">
        <v>45172</v>
      </c>
      <c r="B370" s="9">
        <v>6</v>
      </c>
    </row>
    <row r="371" spans="1:2" x14ac:dyDescent="0.25">
      <c r="A371" s="32">
        <v>45173</v>
      </c>
      <c r="B371" s="9">
        <v>4</v>
      </c>
    </row>
    <row r="372" spans="1:2" x14ac:dyDescent="0.25">
      <c r="A372" s="32">
        <v>45174</v>
      </c>
      <c r="B372" s="9">
        <v>2</v>
      </c>
    </row>
    <row r="373" spans="1:2" x14ac:dyDescent="0.25">
      <c r="A373" s="32">
        <v>45175</v>
      </c>
      <c r="B373" s="9">
        <v>2</v>
      </c>
    </row>
    <row r="374" spans="1:2" x14ac:dyDescent="0.25">
      <c r="A374" s="32">
        <v>45177</v>
      </c>
      <c r="B374" s="9">
        <v>2</v>
      </c>
    </row>
    <row r="375" spans="1:2" x14ac:dyDescent="0.25">
      <c r="A375" s="32">
        <v>45180</v>
      </c>
      <c r="B375" s="9">
        <v>5</v>
      </c>
    </row>
    <row r="376" spans="1:2" x14ac:dyDescent="0.25">
      <c r="A376" s="32">
        <v>45200</v>
      </c>
      <c r="B376" s="9">
        <v>2</v>
      </c>
    </row>
    <row r="377" spans="1:2" x14ac:dyDescent="0.25">
      <c r="A377" s="32">
        <v>45202</v>
      </c>
      <c r="B377" s="9">
        <v>2</v>
      </c>
    </row>
    <row r="378" spans="1:2" x14ac:dyDescent="0.25">
      <c r="A378" s="32">
        <v>45203</v>
      </c>
      <c r="B378" s="9">
        <v>5</v>
      </c>
    </row>
    <row r="379" spans="1:2" x14ac:dyDescent="0.25">
      <c r="A379" s="32">
        <v>45204</v>
      </c>
      <c r="B379" s="9">
        <v>2</v>
      </c>
    </row>
    <row r="380" spans="1:2" x14ac:dyDescent="0.25">
      <c r="A380" s="32">
        <v>45207</v>
      </c>
      <c r="B380" s="9">
        <v>3</v>
      </c>
    </row>
    <row r="381" spans="1:2" x14ac:dyDescent="0.25">
      <c r="A381" s="32">
        <v>45208</v>
      </c>
      <c r="B381" s="9">
        <v>8</v>
      </c>
    </row>
    <row r="382" spans="1:2" x14ac:dyDescent="0.25">
      <c r="A382" s="32">
        <v>45210</v>
      </c>
      <c r="B382" s="9">
        <v>6</v>
      </c>
    </row>
    <row r="383" spans="1:2" x14ac:dyDescent="0.25">
      <c r="A383" s="32">
        <v>45231</v>
      </c>
      <c r="B383" s="9">
        <v>2</v>
      </c>
    </row>
    <row r="384" spans="1:2" x14ac:dyDescent="0.25">
      <c r="A384" s="32">
        <v>45233</v>
      </c>
      <c r="B384" s="9">
        <v>4</v>
      </c>
    </row>
    <row r="385" spans="1:2" x14ac:dyDescent="0.25">
      <c r="A385" s="32">
        <v>45234</v>
      </c>
      <c r="B385" s="9">
        <v>3</v>
      </c>
    </row>
    <row r="386" spans="1:2" x14ac:dyDescent="0.25">
      <c r="A386" s="32">
        <v>45235</v>
      </c>
      <c r="B386" s="9">
        <v>2</v>
      </c>
    </row>
    <row r="387" spans="1:2" x14ac:dyDescent="0.25">
      <c r="A387" s="32">
        <v>45237</v>
      </c>
      <c r="B387" s="9">
        <v>6</v>
      </c>
    </row>
    <row r="388" spans="1:2" x14ac:dyDescent="0.25">
      <c r="A388" s="32">
        <v>45238</v>
      </c>
      <c r="B388" s="9">
        <v>5</v>
      </c>
    </row>
    <row r="389" spans="1:2" x14ac:dyDescent="0.25">
      <c r="A389" s="32">
        <v>45239</v>
      </c>
      <c r="B389" s="9">
        <v>2</v>
      </c>
    </row>
    <row r="390" spans="1:2" x14ac:dyDescent="0.25">
      <c r="A390" s="32">
        <v>45240</v>
      </c>
      <c r="B390" s="9">
        <v>2</v>
      </c>
    </row>
    <row r="391" spans="1:2" x14ac:dyDescent="0.25">
      <c r="A391" s="32">
        <v>45241</v>
      </c>
      <c r="B391" s="9">
        <v>9</v>
      </c>
    </row>
    <row r="392" spans="1:2" x14ac:dyDescent="0.25">
      <c r="A392" s="32">
        <v>45261</v>
      </c>
      <c r="B392" s="9">
        <v>7</v>
      </c>
    </row>
    <row r="393" spans="1:2" x14ac:dyDescent="0.25">
      <c r="A393" s="32">
        <v>45262</v>
      </c>
      <c r="B393" s="9">
        <v>2</v>
      </c>
    </row>
    <row r="394" spans="1:2" x14ac:dyDescent="0.25">
      <c r="A394" s="32">
        <v>45263</v>
      </c>
      <c r="B394" s="9">
        <v>3</v>
      </c>
    </row>
    <row r="395" spans="1:2" x14ac:dyDescent="0.25">
      <c r="A395" s="32">
        <v>45267</v>
      </c>
      <c r="B395" s="9">
        <v>6</v>
      </c>
    </row>
    <row r="396" spans="1:2" x14ac:dyDescent="0.25">
      <c r="A396" s="32">
        <v>45268</v>
      </c>
      <c r="B396" s="9">
        <v>6</v>
      </c>
    </row>
    <row r="397" spans="1:2" x14ac:dyDescent="0.25">
      <c r="A397" s="32">
        <v>45269</v>
      </c>
      <c r="B397" s="9">
        <v>5</v>
      </c>
    </row>
    <row r="398" spans="1:2" x14ac:dyDescent="0.25">
      <c r="A398" s="32">
        <v>45271</v>
      </c>
      <c r="B398" s="9">
        <v>7</v>
      </c>
    </row>
    <row r="399" spans="1:2" x14ac:dyDescent="0.25">
      <c r="A399" s="15" t="s">
        <v>2630</v>
      </c>
      <c r="B399" s="9"/>
    </row>
    <row r="400" spans="1:2" x14ac:dyDescent="0.25">
      <c r="A400" s="15" t="s">
        <v>2620</v>
      </c>
      <c r="B400" s="9">
        <v>1081</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8"/>
  <sheetViews>
    <sheetView showGridLines="0" topLeftCell="A3" workbookViewId="0">
      <selection activeCell="R3" sqref="R3"/>
    </sheetView>
  </sheetViews>
  <sheetFormatPr defaultRowHeight="15" x14ac:dyDescent="0.25"/>
  <sheetData>
    <row r="1" spans="2:16" ht="16.5" thickBot="1" x14ac:dyDescent="0.3">
      <c r="C1" s="34"/>
      <c r="D1" s="34"/>
      <c r="E1" s="34"/>
    </row>
    <row r="2" spans="2:16" ht="15" customHeight="1" x14ac:dyDescent="0.25">
      <c r="E2" s="34"/>
      <c r="F2" s="1"/>
      <c r="G2" s="1"/>
      <c r="H2" s="40" t="s">
        <v>2634</v>
      </c>
      <c r="I2" s="41"/>
      <c r="J2" s="41"/>
      <c r="K2" s="41"/>
      <c r="L2" s="41"/>
      <c r="M2" s="42"/>
      <c r="N2" s="1"/>
    </row>
    <row r="3" spans="2:16" ht="15" customHeight="1" thickBot="1" x14ac:dyDescent="0.3">
      <c r="B3" s="28"/>
      <c r="F3" s="1"/>
      <c r="G3" s="1"/>
      <c r="H3" s="43"/>
      <c r="I3" s="44"/>
      <c r="J3" s="44"/>
      <c r="K3" s="44"/>
      <c r="L3" s="44"/>
      <c r="M3" s="45"/>
      <c r="N3" s="1"/>
    </row>
    <row r="4" spans="2:16" ht="15" customHeight="1" x14ac:dyDescent="0.3">
      <c r="B4" s="27"/>
      <c r="C4" s="35"/>
      <c r="D4" s="30"/>
      <c r="F4" s="1"/>
      <c r="G4" s="31"/>
      <c r="H4" s="31"/>
      <c r="I4" s="1"/>
      <c r="J4" s="1"/>
      <c r="K4" s="1"/>
      <c r="L4" s="33"/>
      <c r="M4" s="1"/>
      <c r="N4" s="1"/>
    </row>
    <row r="5" spans="2:16" ht="15" customHeight="1" thickBot="1" x14ac:dyDescent="0.35">
      <c r="B5" s="27"/>
      <c r="C5" s="30"/>
      <c r="D5" s="30"/>
      <c r="G5" s="31"/>
      <c r="H5" s="31"/>
    </row>
    <row r="6" spans="2:16" ht="19.5" thickBot="1" x14ac:dyDescent="0.35">
      <c r="B6" s="27"/>
      <c r="C6" s="48" t="s">
        <v>2632</v>
      </c>
      <c r="D6" s="49"/>
      <c r="G6" s="48" t="s">
        <v>2628</v>
      </c>
      <c r="H6" s="49"/>
      <c r="K6" s="52" t="s">
        <v>2633</v>
      </c>
      <c r="L6" s="53"/>
      <c r="O6" s="36" t="s">
        <v>2631</v>
      </c>
      <c r="P6" s="37"/>
    </row>
    <row r="7" spans="2:16" ht="19.5" thickBot="1" x14ac:dyDescent="0.35">
      <c r="B7" s="27"/>
      <c r="C7" s="46">
        <v>1538</v>
      </c>
      <c r="D7" s="47"/>
      <c r="G7" s="50">
        <v>2940</v>
      </c>
      <c r="H7" s="51"/>
      <c r="K7" s="54">
        <v>219480</v>
      </c>
      <c r="L7" s="55"/>
      <c r="O7" s="38">
        <v>142.69999999999999</v>
      </c>
      <c r="P7" s="39"/>
    </row>
    <row r="8" spans="2:16" x14ac:dyDescent="0.25">
      <c r="C8" s="29"/>
      <c r="D8" s="29"/>
    </row>
  </sheetData>
  <mergeCells count="9">
    <mergeCell ref="O6:P6"/>
    <mergeCell ref="O7:P7"/>
    <mergeCell ref="H2:M3"/>
    <mergeCell ref="C7:D7"/>
    <mergeCell ref="C6:D6"/>
    <mergeCell ref="G6:H6"/>
    <mergeCell ref="G7:H7"/>
    <mergeCell ref="K6:L6"/>
    <mergeCell ref="K7:L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Sheet1</vt:lpstr>
      <vt:lpstr>Sheet4</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dc:creator>
  <cp:lastModifiedBy>saad</cp:lastModifiedBy>
  <cp:lastPrinted>2026-02-14T17:23:18Z</cp:lastPrinted>
  <dcterms:created xsi:type="dcterms:W3CDTF">2026-02-09T20:21:44Z</dcterms:created>
  <dcterms:modified xsi:type="dcterms:W3CDTF">2026-02-20T11:50:59Z</dcterms:modified>
</cp:coreProperties>
</file>